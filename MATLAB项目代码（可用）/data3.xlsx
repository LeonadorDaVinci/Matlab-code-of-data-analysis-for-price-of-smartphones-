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性能" sheetId="1" r:id="rId1"/>
    <sheet name="周边配置" sheetId="3" r:id="rId2"/>
    <sheet name="价格" sheetId="2" r:id="rId3"/>
    <sheet name="Sheet1" sheetId="4" r:id="rId4"/>
    <sheet name="品牌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<sst xmlns="http://schemas.openxmlformats.org/spreadsheetml/2006/main" count="646" uniqueCount="241">
  <si>
    <t>机型/参数</t>
  </si>
  <si>
    <t>机型</t>
  </si>
  <si>
    <t>SoC</t>
  </si>
  <si>
    <t>SoC代号</t>
  </si>
  <si>
    <t>SoC制程</t>
  </si>
  <si>
    <t>SoC制程量化</t>
  </si>
  <si>
    <t>极客湾跑分（865为100）</t>
  </si>
  <si>
    <t>跑分量化</t>
  </si>
  <si>
    <t>参考资料</t>
  </si>
  <si>
    <t>厂商代号</t>
  </si>
  <si>
    <t>Apple</t>
  </si>
  <si>
    <t>iPhone 6</t>
  </si>
  <si>
    <t>A8</t>
  </si>
  <si>
    <t>iPhone X</t>
  </si>
  <si>
    <t>A11</t>
  </si>
  <si>
    <t>iPhone 13</t>
  </si>
  <si>
    <t>A15</t>
  </si>
  <si>
    <t>iPhone 13 Pro</t>
  </si>
  <si>
    <t>iPhone SE 3</t>
  </si>
  <si>
    <t>Xiaomi</t>
  </si>
  <si>
    <t>Xiaomi Mi 6</t>
  </si>
  <si>
    <t>骁龙835</t>
  </si>
  <si>
    <t>Xiaomi Mi 8</t>
  </si>
  <si>
    <t>骁龙845</t>
  </si>
  <si>
    <t>Xiaomi 13</t>
  </si>
  <si>
    <t>骁龙8gen2</t>
  </si>
  <si>
    <t>Redmi K20 Pro</t>
  </si>
  <si>
    <t>骁龙855</t>
  </si>
  <si>
    <t>Redmi K50</t>
  </si>
  <si>
    <t>天玑8100</t>
  </si>
  <si>
    <t>Redmi 13R</t>
  </si>
  <si>
    <t>天玑6100+</t>
  </si>
  <si>
    <t>Huawei</t>
  </si>
  <si>
    <t>P40 Pro+</t>
  </si>
  <si>
    <t>麒麟990</t>
  </si>
  <si>
    <t>Mate30 5G</t>
  </si>
  <si>
    <t>Mate10 Pro</t>
  </si>
  <si>
    <t>麒麟970</t>
  </si>
  <si>
    <t>P10</t>
  </si>
  <si>
    <t>麒麟960</t>
  </si>
  <si>
    <t>nova 11 SE</t>
  </si>
  <si>
    <t>骁龙680</t>
  </si>
  <si>
    <t>畅享80</t>
  </si>
  <si>
    <t>麒麟710</t>
  </si>
  <si>
    <t>Vivo</t>
  </si>
  <si>
    <t>vivo X5 Max</t>
  </si>
  <si>
    <t>骁龙615</t>
  </si>
  <si>
    <t>vivo Xplay 6</t>
  </si>
  <si>
    <t>骁龙820</t>
  </si>
  <si>
    <t>vivo X50 Pro+</t>
  </si>
  <si>
    <t>骁龙865</t>
  </si>
  <si>
    <t>vivo X90 Pro+</t>
  </si>
  <si>
    <t xml:space="preserve"> </t>
  </si>
  <si>
    <t>iQOO</t>
  </si>
  <si>
    <t>天玑9400</t>
  </si>
  <si>
    <t>Sony</t>
  </si>
  <si>
    <t>Xperia XZ1 Compact</t>
  </si>
  <si>
    <t>Xperia 5 II</t>
  </si>
  <si>
    <t>Xperia 1 V</t>
  </si>
  <si>
    <t>Samsung</t>
  </si>
  <si>
    <t>Galaxy Note8</t>
  </si>
  <si>
    <t>Galaxy S10+</t>
  </si>
  <si>
    <t>Galaxy S20 Ultra</t>
  </si>
  <si>
    <t>Galaxy S24</t>
  </si>
  <si>
    <t>骁龙8gen3</t>
  </si>
  <si>
    <t>品牌</t>
  </si>
  <si>
    <t>最低配存储</t>
  </si>
  <si>
    <t>存储量化</t>
  </si>
  <si>
    <t>最低配 RAM</t>
  </si>
  <si>
    <t>RAM量化</t>
  </si>
  <si>
    <t>屏幕尺寸</t>
  </si>
  <si>
    <t>屏幕尺寸量化</t>
  </si>
  <si>
    <t>分辨率</t>
  </si>
  <si>
    <t>分辨率乘积</t>
  </si>
  <si>
    <t>分辨率量化</t>
  </si>
  <si>
    <t>刷新率</t>
  </si>
  <si>
    <t>刷新率量化</t>
  </si>
  <si>
    <t>主摄（MP）</t>
  </si>
  <si>
    <t>主摄量化</t>
  </si>
  <si>
    <t>电池容量</t>
  </si>
  <si>
    <t>电池容量量化</t>
  </si>
  <si>
    <t>充电功率</t>
  </si>
  <si>
    <t>充电功率量化</t>
  </si>
  <si>
    <t>750*1334</t>
  </si>
  <si>
    <t>1125*2436</t>
  </si>
  <si>
    <t>2532*1170</t>
  </si>
  <si>
    <t>1334*750</t>
  </si>
  <si>
    <t>1920*1080</t>
  </si>
  <si>
    <t>2248*1080</t>
  </si>
  <si>
    <t>2400*1080</t>
  </si>
  <si>
    <t>Redmi K20 Pro</t>
  </si>
  <si>
    <t>2340*1080</t>
  </si>
  <si>
    <t>Redmi K50</t>
  </si>
  <si>
    <t>3200*1440</t>
  </si>
  <si>
    <t>Redmi 13R</t>
  </si>
  <si>
    <t>1600*720</t>
  </si>
  <si>
    <t>2640*1200</t>
  </si>
  <si>
    <t>2160*1080</t>
  </si>
  <si>
    <t>nova 11 SE</t>
  </si>
  <si>
    <t>1604*720</t>
  </si>
  <si>
    <t>vivo X5 Max</t>
  </si>
  <si>
    <t>2560*1440</t>
  </si>
  <si>
    <t>2376*1080</t>
  </si>
  <si>
    <t>vivo</t>
  </si>
  <si>
    <t>1280*720</t>
  </si>
  <si>
    <t>2520*1080</t>
  </si>
  <si>
    <t>3840*1644</t>
  </si>
  <si>
    <t>1440*2960</t>
  </si>
  <si>
    <t>1440*3040</t>
  </si>
  <si>
    <t>1440*3200</t>
  </si>
  <si>
    <t>首发价格（市场价）</t>
  </si>
  <si>
    <t>现价</t>
  </si>
  <si>
    <t>价格差值</t>
  </si>
  <si>
    <t>差值量化</t>
  </si>
  <si>
    <t>时间</t>
  </si>
  <si>
    <t>时间量化</t>
  </si>
  <si>
    <t>首发时是否出现供不应求</t>
  </si>
  <si>
    <t>是否含进口税</t>
  </si>
  <si>
    <t>苹果</t>
  </si>
  <si>
    <t>是</t>
  </si>
  <si>
    <t>否</t>
  </si>
  <si>
    <t>小米</t>
  </si>
  <si>
    <t>华为</t>
  </si>
  <si>
    <t>iQOO Pro 5G</t>
  </si>
  <si>
    <t>mAh</t>
  </si>
  <si>
    <t>16 GB</t>
  </si>
  <si>
    <t>1 GB</t>
  </si>
  <si>
    <t>4.7″</t>
  </si>
  <si>
    <t>750×1334</t>
  </si>
  <si>
    <t>60 Hz</t>
  </si>
  <si>
    <t>8 MP</t>
  </si>
  <si>
    <t>基于USB充电（约5 W）</t>
  </si>
  <si>
    <t>128 GB</t>
  </si>
  <si>
    <t>8 GB</t>
  </si>
  <si>
    <t>6.36″</t>
  </si>
  <si>
    <t>1080×2400</t>
  </si>
  <si>
    <t>120 Hz?（Pro HDR不明确）</t>
  </si>
  <si>
    <t>50 MP</t>
  </si>
  <si>
    <t>未知</t>
  </si>
  <si>
    <t>256 GB</t>
  </si>
  <si>
    <t>6.6″</t>
  </si>
  <si>
    <t>2640×1200</t>
  </si>
  <si>
    <t>90 Hz</t>
  </si>
  <si>
    <t>50 MP（主）</t>
  </si>
  <si>
    <t>40 W 有线／40 W 无线</t>
  </si>
  <si>
    <t>6.56″</t>
  </si>
  <si>
    <t>1080×2376</t>
  </si>
  <si>
    <t>120 Hz</t>
  </si>
  <si>
    <t>12 GB</t>
  </si>
  <si>
    <t>6.5″</t>
  </si>
  <si>
    <t>3840×1644</t>
  </si>
  <si>
    <t>48 MP</t>
  </si>
  <si>
    <t>30 W USB‑PD</t>
  </si>
  <si>
    <t>6.2″</t>
  </si>
  <si>
    <t>2340×1080</t>
  </si>
  <si>
    <t>最高120 Hz</t>
  </si>
  <si>
    <t>25 W</t>
  </si>
  <si>
    <t>Galaxy S2</t>
  </si>
  <si>
    <t>Exynos 4210 / S3版为S3</t>
  </si>
  <si>
    <t>45nm / 32nm</t>
  </si>
  <si>
    <t>Galaxy Note</t>
  </si>
  <si>
    <t>Exynos 4210 / S3</t>
  </si>
  <si>
    <t>Sony Ericsson W800</t>
  </si>
  <si>
    <t>ARM9（Proprietary）</t>
  </si>
  <si>
    <t>Xperia Z</t>
  </si>
  <si>
    <t>Snapdragon S4 Pro APQ8064</t>
  </si>
  <si>
    <t>28nm</t>
  </si>
  <si>
    <t>Xperia Z5 Premium</t>
  </si>
  <si>
    <t>Snapdragon 810</t>
  </si>
  <si>
    <t>未知:contentReference[oaicite:1]{index=1}</t>
  </si>
  <si>
    <t>64 GB</t>
  </si>
  <si>
    <t>3 GB</t>
  </si>
  <si>
    <t>5.8″</t>
  </si>
  <si>
    <t>1125×2436</t>
  </si>
  <si>
    <t>12 MP</t>
  </si>
  <si>
    <t>未知:contentReference[oaicite:2]{index=2}</t>
  </si>
  <si>
    <t>4 GB?（未明）</t>
  </si>
  <si>
    <t>6.1″</t>
  </si>
  <si>
    <t>2532×1170</t>
  </si>
  <si>
    <t>12 MP?（主）</t>
  </si>
  <si>
    <t>20 W 快充（50% 30min）:contentReference[oaicite:3]{index=3}</t>
  </si>
  <si>
    <t>6 GB</t>
  </si>
  <si>
    <t>未知（支持MagSafe 15W、有线可达20 W）:contentReference[oaicite:4]{index=4}</t>
  </si>
  <si>
    <t>4 GB</t>
  </si>
  <si>
    <t>1334×750</t>
  </si>
  <si>
    <t>12 MP?（未知）</t>
  </si>
  <si>
    <t>最高18 W（快充）:contentReference[oaicite:5]{index=5}</t>
  </si>
  <si>
    <t>5.15″</t>
  </si>
  <si>
    <t>1920×1080</t>
  </si>
  <si>
    <t>未知:contentReference[oaicite:6]{index=6}</t>
  </si>
  <si>
    <t>6.21″</t>
  </si>
  <si>
    <t>2248×1080</t>
  </si>
  <si>
    <t>3400（QC4+）</t>
  </si>
  <si>
    <t>未知:contentReference[oaicite:7]{index=7}</t>
  </si>
  <si>
    <t>2400×1080</t>
  </si>
  <si>
    <t>67 W 有线、50 W 无线:contentReference[oaicite:8]{index=8}</t>
  </si>
  <si>
    <t>未知:contentReference[oaicite:9]{index=9}</t>
  </si>
  <si>
    <t>40 W（有／无线）</t>
  </si>
  <si>
    <t>5.9″</t>
  </si>
  <si>
    <t>2160×1080？（未知）</t>
  </si>
  <si>
    <t>约20 MP（双摄主）</t>
  </si>
  <si>
    <t>32 GB</t>
  </si>
  <si>
    <t>5.1″</t>
  </si>
  <si>
    <t>6.78″？（未知）</t>
  </si>
  <si>
    <t>2 GB？（未知）</t>
  </si>
  <si>
    <t>5.5″（未知）</t>
  </si>
  <si>
    <t>13 MP？（未知）</t>
  </si>
  <si>
    <t>3600？（未知）</t>
  </si>
  <si>
    <t>4 GB？</t>
  </si>
  <si>
    <t>5.46″？</t>
  </si>
  <si>
    <t>16 MP？</t>
  </si>
  <si>
    <t>3600 mAh？</t>
  </si>
  <si>
    <t>2376×1080</t>
  </si>
  <si>
    <t>12 GB？（未知）</t>
  </si>
  <si>
    <t>6.78″？</t>
  </si>
  <si>
    <t>未知（1440p?）</t>
  </si>
  <si>
    <t>120 Hz？</t>
  </si>
  <si>
    <t>5000？（未知）</t>
  </si>
  <si>
    <t>8 GB？</t>
  </si>
  <si>
    <t>4.6″</t>
  </si>
  <si>
    <t>1280×720（未知）</t>
  </si>
  <si>
    <t>19 MP</t>
  </si>
  <si>
    <t>2700（未知）</t>
  </si>
  <si>
    <t>2520×1080</t>
  </si>
  <si>
    <t>12 MP（主）</t>
  </si>
  <si>
    <t>21 W？（未知）</t>
  </si>
  <si>
    <t>30 W USB‑PD:contentReference[oaicite:10]{index=10}</t>
  </si>
  <si>
    <t>6.3″</t>
  </si>
  <si>
    <t>1440×2960</t>
  </si>
  <si>
    <t>12 MP（双）</t>
  </si>
  <si>
    <t>快速充电（未知功率）</t>
  </si>
  <si>
    <t>6.4″</t>
  </si>
  <si>
    <t>1440×3040</t>
  </si>
  <si>
    <t>60 Hz（屏幕可自动切 60/90）</t>
  </si>
  <si>
    <t>6.9″</t>
  </si>
  <si>
    <t>1440×3200</t>
  </si>
  <si>
    <t>120 Hz（限 FHD）</t>
  </si>
  <si>
    <t>108 MP</t>
  </si>
  <si>
    <t>45 W？</t>
  </si>
  <si>
    <t>25 W:contentReference[oaicite:11]{index=11}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</si>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</sst>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zoomScale="115" zoomScaleNormal="115" workbookViewId="0">
      <selection activeCell="J9" sqref="J9"/>
    </sheetView>
  </sheetViews>
  <sheetFormatPr defaultColWidth="9" defaultRowHeight="14.4"/>
  <cols>
    <col min="1" max="1" width="10.1296296296296" customWidth="1"/>
    <col min="2" max="2" width="21.3796296296296" customWidth="1"/>
    <col min="3" max="3" width="12.3796296296296" customWidth="1"/>
    <col min="6" max="7" width="23.6296296296296" customWidth="1"/>
    <col min="8" max="9" width="24.5" customWidth="1"/>
    <col min="10" max="10" width="28.5" customWidth="1"/>
    <col min="11" max="11" width="47" customWidth="1"/>
    <col min="12" max="12" width="24.5" customWidth="1"/>
    <col min="13" max="13" width="5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t="s">
        <v>9</v>
      </c>
    </row>
    <row r="2" spans="1:10">
      <c r="A2" t="s">
        <v>10</v>
      </c>
      <c r="B2" s="1" t="s">
        <v>11</v>
      </c>
      <c r="C2" s="1" t="s">
        <v>12</v>
      </c>
      <c r="D2" s="1">
        <v>1</v>
      </c>
      <c r="E2" s="1">
        <v>20</v>
      </c>
      <c r="F2">
        <f t="shared" ref="F2:F30" si="0">E2/20</f>
        <v>1</v>
      </c>
      <c r="G2">
        <v>20.6</v>
      </c>
      <c r="H2">
        <f t="shared" ref="H2:H30" si="1">G2/100</f>
        <v>0.206</v>
      </c>
      <c r="J2">
        <v>1</v>
      </c>
    </row>
    <row r="3" spans="1:10">
      <c r="A3" t="s">
        <v>10</v>
      </c>
      <c r="B3" t="s">
        <v>13</v>
      </c>
      <c r="C3" s="1" t="s">
        <v>14</v>
      </c>
      <c r="D3" s="1">
        <v>1</v>
      </c>
      <c r="E3">
        <v>10</v>
      </c>
      <c r="F3">
        <f t="shared" si="0"/>
        <v>0.5</v>
      </c>
      <c r="G3">
        <v>80.8</v>
      </c>
      <c r="H3">
        <f t="shared" si="1"/>
        <v>0.808</v>
      </c>
      <c r="J3">
        <v>1</v>
      </c>
    </row>
    <row r="4" spans="1:10">
      <c r="A4" t="s">
        <v>10</v>
      </c>
      <c r="B4" s="1" t="s">
        <v>15</v>
      </c>
      <c r="C4" s="1" t="s">
        <v>16</v>
      </c>
      <c r="D4" s="1">
        <v>1</v>
      </c>
      <c r="E4" s="1">
        <v>5</v>
      </c>
      <c r="F4">
        <f t="shared" si="0"/>
        <v>0.25</v>
      </c>
      <c r="G4">
        <v>176.3</v>
      </c>
      <c r="H4">
        <f t="shared" si="1"/>
        <v>1.763</v>
      </c>
      <c r="J4">
        <v>1</v>
      </c>
    </row>
    <row r="5" spans="1:10">
      <c r="A5" t="s">
        <v>10</v>
      </c>
      <c r="B5" s="1" t="s">
        <v>17</v>
      </c>
      <c r="C5" s="1" t="s">
        <v>16</v>
      </c>
      <c r="D5" s="1">
        <v>1</v>
      </c>
      <c r="E5" s="1">
        <v>5</v>
      </c>
      <c r="F5">
        <f t="shared" si="0"/>
        <v>0.25</v>
      </c>
      <c r="G5">
        <v>182.2</v>
      </c>
      <c r="H5">
        <f t="shared" si="1"/>
        <v>1.822</v>
      </c>
      <c r="J5">
        <v>1</v>
      </c>
    </row>
    <row r="6" spans="1:10">
      <c r="A6" t="s">
        <v>10</v>
      </c>
      <c r="B6" s="1" t="s">
        <v>18</v>
      </c>
      <c r="C6" s="1" t="s">
        <v>16</v>
      </c>
      <c r="D6" s="1">
        <v>1</v>
      </c>
      <c r="E6" s="1">
        <v>5</v>
      </c>
      <c r="F6">
        <f t="shared" si="0"/>
        <v>0.25</v>
      </c>
      <c r="G6">
        <v>176.3</v>
      </c>
      <c r="H6">
        <f t="shared" si="1"/>
        <v>1.763</v>
      </c>
      <c r="J6">
        <v>1</v>
      </c>
    </row>
    <row r="7" spans="1:8">
      <c r="A7" s="1" t="s">
        <v>19</v>
      </c>
      <c r="B7" s="1" t="s">
        <v>20</v>
      </c>
      <c r="C7" s="1" t="s">
        <v>21</v>
      </c>
      <c r="D7" s="1">
        <v>2</v>
      </c>
      <c r="E7" s="1">
        <v>10</v>
      </c>
      <c r="F7">
        <f t="shared" si="0"/>
        <v>0.5</v>
      </c>
      <c r="G7">
        <v>46</v>
      </c>
      <c r="H7">
        <f t="shared" si="1"/>
        <v>0.46</v>
      </c>
    </row>
    <row r="8" spans="1:10">
      <c r="A8" s="1" t="s">
        <v>19</v>
      </c>
      <c r="B8" s="1" t="s">
        <v>22</v>
      </c>
      <c r="C8" s="1" t="s">
        <v>23</v>
      </c>
      <c r="D8" s="1">
        <v>2</v>
      </c>
      <c r="E8" s="1">
        <v>10</v>
      </c>
      <c r="F8">
        <f t="shared" si="0"/>
        <v>0.5</v>
      </c>
      <c r="G8">
        <v>60.1</v>
      </c>
      <c r="H8">
        <f t="shared" si="1"/>
        <v>0.601</v>
      </c>
      <c r="J8">
        <v>2</v>
      </c>
    </row>
    <row r="9" spans="1:10">
      <c r="A9" s="1" t="s">
        <v>19</v>
      </c>
      <c r="B9" s="1" t="s">
        <v>24</v>
      </c>
      <c r="C9" s="1" t="s">
        <v>25</v>
      </c>
      <c r="D9" s="1">
        <v>2</v>
      </c>
      <c r="E9" s="1">
        <v>4</v>
      </c>
      <c r="F9">
        <f t="shared" si="0"/>
        <v>0.2</v>
      </c>
      <c r="G9">
        <v>205.7</v>
      </c>
      <c r="H9">
        <f t="shared" si="1"/>
        <v>2.057</v>
      </c>
      <c r="J9">
        <v>2</v>
      </c>
    </row>
    <row r="10" spans="1:10">
      <c r="A10" s="1" t="s">
        <v>19</v>
      </c>
      <c r="B10" s="1" t="s">
        <v>26</v>
      </c>
      <c r="C10" s="1" t="s">
        <v>27</v>
      </c>
      <c r="D10" s="1">
        <v>2</v>
      </c>
      <c r="E10" s="1">
        <v>7</v>
      </c>
      <c r="F10">
        <f t="shared" si="0"/>
        <v>0.35</v>
      </c>
      <c r="G10">
        <v>83.4</v>
      </c>
      <c r="H10">
        <f t="shared" si="1"/>
        <v>0.834</v>
      </c>
      <c r="J10">
        <v>2</v>
      </c>
    </row>
    <row r="11" spans="1:10">
      <c r="A11" s="1" t="s">
        <v>19</v>
      </c>
      <c r="B11" s="1" t="s">
        <v>28</v>
      </c>
      <c r="C11" s="1" t="s">
        <v>29</v>
      </c>
      <c r="D11" s="1">
        <v>3</v>
      </c>
      <c r="E11" s="1">
        <v>5</v>
      </c>
      <c r="F11">
        <f t="shared" si="0"/>
        <v>0.25</v>
      </c>
      <c r="G11">
        <v>110.8</v>
      </c>
      <c r="H11">
        <f t="shared" si="1"/>
        <v>1.108</v>
      </c>
      <c r="J11">
        <v>2</v>
      </c>
    </row>
    <row r="12" spans="1:10">
      <c r="A12" s="1" t="s">
        <v>19</v>
      </c>
      <c r="B12" s="1" t="s">
        <v>30</v>
      </c>
      <c r="C12" s="1" t="s">
        <v>31</v>
      </c>
      <c r="D12" s="1">
        <v>3</v>
      </c>
      <c r="E12" s="1">
        <v>6</v>
      </c>
      <c r="F12">
        <f t="shared" si="0"/>
        <v>0.3</v>
      </c>
      <c r="G12">
        <v>50</v>
      </c>
      <c r="H12">
        <f t="shared" si="1"/>
        <v>0.5</v>
      </c>
      <c r="J12">
        <v>2</v>
      </c>
    </row>
    <row r="13" spans="1:10">
      <c r="A13" t="s">
        <v>32</v>
      </c>
      <c r="B13" s="1" t="s">
        <v>33</v>
      </c>
      <c r="C13" s="1" t="s">
        <v>34</v>
      </c>
      <c r="D13" s="1">
        <v>4</v>
      </c>
      <c r="E13" s="1">
        <v>7</v>
      </c>
      <c r="F13">
        <f t="shared" si="0"/>
        <v>0.35</v>
      </c>
      <c r="G13">
        <v>89.9</v>
      </c>
      <c r="H13">
        <f t="shared" si="1"/>
        <v>0.899</v>
      </c>
      <c r="J13">
        <v>2</v>
      </c>
    </row>
    <row r="14" spans="1:8">
      <c r="A14" t="s">
        <v>32</v>
      </c>
      <c r="B14" s="1" t="s">
        <v>35</v>
      </c>
      <c r="C14" s="1" t="s">
        <v>34</v>
      </c>
      <c r="D14" s="1">
        <v>4</v>
      </c>
      <c r="E14" s="1">
        <v>7</v>
      </c>
      <c r="F14">
        <f t="shared" si="0"/>
        <v>0.35</v>
      </c>
      <c r="G14">
        <v>89.9</v>
      </c>
      <c r="H14">
        <f t="shared" si="1"/>
        <v>0.899</v>
      </c>
    </row>
    <row r="15" spans="1:10">
      <c r="A15" t="s">
        <v>32</v>
      </c>
      <c r="B15" s="1" t="s">
        <v>36</v>
      </c>
      <c r="C15" s="1" t="s">
        <v>37</v>
      </c>
      <c r="D15" s="1">
        <v>4</v>
      </c>
      <c r="E15" s="1">
        <v>10</v>
      </c>
      <c r="F15">
        <f t="shared" si="0"/>
        <v>0.5</v>
      </c>
      <c r="G15">
        <v>43.4</v>
      </c>
      <c r="H15">
        <f t="shared" si="1"/>
        <v>0.434</v>
      </c>
      <c r="J15">
        <v>3</v>
      </c>
    </row>
    <row r="16" spans="1:10">
      <c r="A16" t="s">
        <v>32</v>
      </c>
      <c r="B16" s="1" t="s">
        <v>38</v>
      </c>
      <c r="C16" s="1" t="s">
        <v>39</v>
      </c>
      <c r="D16" s="1">
        <v>4</v>
      </c>
      <c r="E16" s="1">
        <v>16</v>
      </c>
      <c r="F16">
        <f t="shared" si="0"/>
        <v>0.8</v>
      </c>
      <c r="G16">
        <v>40.4</v>
      </c>
      <c r="H16">
        <f t="shared" si="1"/>
        <v>0.404</v>
      </c>
      <c r="J16">
        <v>3</v>
      </c>
    </row>
    <row r="17" spans="1:10">
      <c r="A17" t="s">
        <v>32</v>
      </c>
      <c r="B17" s="1" t="s">
        <v>40</v>
      </c>
      <c r="C17" s="1" t="s">
        <v>41</v>
      </c>
      <c r="D17" s="1"/>
      <c r="E17" s="1">
        <v>6</v>
      </c>
      <c r="F17">
        <f t="shared" si="0"/>
        <v>0.3</v>
      </c>
      <c r="G17">
        <v>38.3</v>
      </c>
      <c r="H17">
        <f t="shared" si="1"/>
        <v>0.383</v>
      </c>
      <c r="J17">
        <v>3</v>
      </c>
    </row>
    <row r="18" spans="1:10">
      <c r="A18" t="s">
        <v>32</v>
      </c>
      <c r="B18" s="1" t="s">
        <v>42</v>
      </c>
      <c r="C18" s="1" t="s">
        <v>43</v>
      </c>
      <c r="D18" s="1"/>
      <c r="E18" s="1">
        <v>12</v>
      </c>
      <c r="F18">
        <f t="shared" si="0"/>
        <v>0.6</v>
      </c>
      <c r="G18">
        <v>32.2</v>
      </c>
      <c r="H18">
        <f t="shared" si="1"/>
        <v>0.322</v>
      </c>
      <c r="J18">
        <v>3</v>
      </c>
    </row>
    <row r="19" spans="1:10">
      <c r="A19" t="s">
        <v>44</v>
      </c>
      <c r="B19" s="1" t="s">
        <v>45</v>
      </c>
      <c r="C19" s="1" t="s">
        <v>46</v>
      </c>
      <c r="D19" s="1"/>
      <c r="E19" s="1">
        <v>28</v>
      </c>
      <c r="F19">
        <f t="shared" si="0"/>
        <v>1.4</v>
      </c>
      <c r="G19">
        <v>20</v>
      </c>
      <c r="H19">
        <f t="shared" si="1"/>
        <v>0.2</v>
      </c>
      <c r="J19">
        <v>3</v>
      </c>
    </row>
    <row r="20" spans="1:10">
      <c r="A20" t="s">
        <v>44</v>
      </c>
      <c r="B20" s="1" t="s">
        <v>47</v>
      </c>
      <c r="C20" s="1" t="s">
        <v>48</v>
      </c>
      <c r="D20" s="1"/>
      <c r="E20" s="1">
        <v>14</v>
      </c>
      <c r="F20">
        <f t="shared" si="0"/>
        <v>0.7</v>
      </c>
      <c r="G20">
        <v>35.1</v>
      </c>
      <c r="H20">
        <f t="shared" si="1"/>
        <v>0.351</v>
      </c>
      <c r="J20">
        <v>3</v>
      </c>
    </row>
    <row r="21" spans="1:8">
      <c r="A21" t="s">
        <v>44</v>
      </c>
      <c r="B21" t="s">
        <v>49</v>
      </c>
      <c r="C21" s="1" t="s">
        <v>50</v>
      </c>
      <c r="D21" s="1"/>
      <c r="E21" s="1">
        <v>7</v>
      </c>
      <c r="F21">
        <f t="shared" si="0"/>
        <v>0.35</v>
      </c>
      <c r="G21">
        <v>100</v>
      </c>
      <c r="H21">
        <f t="shared" si="1"/>
        <v>1</v>
      </c>
    </row>
    <row r="22" spans="1:10">
      <c r="A22" t="s">
        <v>44</v>
      </c>
      <c r="B22" t="s">
        <v>51</v>
      </c>
      <c r="C22" s="1" t="s">
        <v>25</v>
      </c>
      <c r="D22" s="1"/>
      <c r="E22" s="1">
        <v>4</v>
      </c>
      <c r="F22">
        <f t="shared" si="0"/>
        <v>0.2</v>
      </c>
      <c r="G22" s="1">
        <v>205.7</v>
      </c>
      <c r="H22">
        <f t="shared" si="1"/>
        <v>2.057</v>
      </c>
      <c r="I22" s="1" t="s">
        <v>52</v>
      </c>
      <c r="J22">
        <v>4</v>
      </c>
    </row>
    <row r="23" spans="1:10">
      <c r="A23" t="s">
        <v>44</v>
      </c>
      <c r="B23" s="1" t="s">
        <v>53</v>
      </c>
      <c r="C23" s="1" t="s">
        <v>54</v>
      </c>
      <c r="D23" s="1"/>
      <c r="E23" s="1">
        <v>3</v>
      </c>
      <c r="F23">
        <f t="shared" si="0"/>
        <v>0.15</v>
      </c>
      <c r="G23" s="1">
        <v>310.2</v>
      </c>
      <c r="H23">
        <f t="shared" si="1"/>
        <v>3.102</v>
      </c>
      <c r="J23">
        <v>4</v>
      </c>
    </row>
    <row r="24" spans="1:10">
      <c r="A24" t="s">
        <v>55</v>
      </c>
      <c r="B24" t="s">
        <v>56</v>
      </c>
      <c r="C24" s="1" t="s">
        <v>21</v>
      </c>
      <c r="D24" s="1"/>
      <c r="E24" s="1">
        <v>10</v>
      </c>
      <c r="F24">
        <f t="shared" si="0"/>
        <v>0.5</v>
      </c>
      <c r="G24">
        <v>46</v>
      </c>
      <c r="H24">
        <f t="shared" si="1"/>
        <v>0.46</v>
      </c>
      <c r="J24">
        <v>4</v>
      </c>
    </row>
    <row r="25" spans="1:10">
      <c r="A25" t="s">
        <v>55</v>
      </c>
      <c r="B25" s="1" t="s">
        <v>57</v>
      </c>
      <c r="C25" s="1" t="s">
        <v>50</v>
      </c>
      <c r="E25">
        <v>7</v>
      </c>
      <c r="F25">
        <f t="shared" si="0"/>
        <v>0.35</v>
      </c>
      <c r="G25">
        <v>100</v>
      </c>
      <c r="H25">
        <f t="shared" si="1"/>
        <v>1</v>
      </c>
      <c r="J25">
        <v>4</v>
      </c>
    </row>
    <row r="26" spans="1:10">
      <c r="A26" t="s">
        <v>55</v>
      </c>
      <c r="B26" s="1" t="s">
        <v>58</v>
      </c>
      <c r="C26" s="1" t="s">
        <v>25</v>
      </c>
      <c r="D26" s="1"/>
      <c r="E26" s="1">
        <v>4</v>
      </c>
      <c r="F26">
        <f t="shared" si="0"/>
        <v>0.2</v>
      </c>
      <c r="G26">
        <v>205.7</v>
      </c>
      <c r="H26">
        <f t="shared" si="1"/>
        <v>2.057</v>
      </c>
      <c r="J26">
        <v>4</v>
      </c>
    </row>
    <row r="27" spans="1:8">
      <c r="A27" t="s">
        <v>59</v>
      </c>
      <c r="B27" t="s">
        <v>60</v>
      </c>
      <c r="C27" s="1" t="s">
        <v>23</v>
      </c>
      <c r="D27" s="1"/>
      <c r="E27" s="1">
        <v>10</v>
      </c>
      <c r="F27">
        <f t="shared" si="0"/>
        <v>0.5</v>
      </c>
      <c r="G27">
        <v>60.1</v>
      </c>
      <c r="H27">
        <f t="shared" si="1"/>
        <v>0.601</v>
      </c>
    </row>
    <row r="28" spans="1:10">
      <c r="A28" t="s">
        <v>59</v>
      </c>
      <c r="B28" s="1" t="s">
        <v>61</v>
      </c>
      <c r="C28" s="1" t="s">
        <v>27</v>
      </c>
      <c r="E28">
        <v>7</v>
      </c>
      <c r="F28">
        <f t="shared" si="0"/>
        <v>0.35</v>
      </c>
      <c r="G28">
        <v>83.4</v>
      </c>
      <c r="H28">
        <f t="shared" si="1"/>
        <v>0.834</v>
      </c>
      <c r="J28">
        <v>5</v>
      </c>
    </row>
    <row r="29" spans="1:10">
      <c r="A29" t="s">
        <v>59</v>
      </c>
      <c r="B29" s="1" t="s">
        <v>62</v>
      </c>
      <c r="C29" s="1" t="s">
        <v>50</v>
      </c>
      <c r="D29" s="1"/>
      <c r="E29" s="1">
        <v>7</v>
      </c>
      <c r="F29">
        <f t="shared" si="0"/>
        <v>0.35</v>
      </c>
      <c r="G29">
        <v>100</v>
      </c>
      <c r="H29">
        <f t="shared" si="1"/>
        <v>1</v>
      </c>
      <c r="J29">
        <v>5</v>
      </c>
    </row>
    <row r="30" spans="1:10">
      <c r="A30" t="s">
        <v>59</v>
      </c>
      <c r="B30" t="s">
        <v>63</v>
      </c>
      <c r="C30" s="1" t="s">
        <v>64</v>
      </c>
      <c r="D30" s="1"/>
      <c r="E30" s="1">
        <v>4</v>
      </c>
      <c r="F30">
        <f t="shared" si="0"/>
        <v>0.2</v>
      </c>
      <c r="G30">
        <v>264.7</v>
      </c>
      <c r="H30">
        <f t="shared" si="1"/>
        <v>2.647</v>
      </c>
      <c r="J30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zoomScale="115" zoomScaleNormal="115" workbookViewId="0">
      <selection activeCell="F5" sqref="F5"/>
    </sheetView>
  </sheetViews>
  <sheetFormatPr defaultColWidth="9" defaultRowHeight="14.4"/>
  <cols>
    <col min="1" max="1" width="11" customWidth="1"/>
    <col min="2" max="2" width="18.8796296296296" customWidth="1"/>
    <col min="3" max="3" width="13.1296296296296" customWidth="1"/>
    <col min="4" max="5" width="11.3796296296296" customWidth="1"/>
    <col min="6" max="6" width="10.712962962963" customWidth="1"/>
    <col min="8" max="9" width="23" customWidth="1"/>
    <col min="10" max="10" width="11.5925925925926" customWidth="1"/>
    <col min="11" max="11" width="10.7222222222222" customWidth="1"/>
    <col min="13" max="14" width="15.6296296296296" customWidth="1"/>
    <col min="15" max="16" width="14.8796296296296" customWidth="1"/>
    <col min="17" max="18" width="14" customWidth="1"/>
    <col min="19" max="21" width="16.5" customWidth="1"/>
  </cols>
  <sheetData>
    <row r="1" spans="1:21">
      <c r="A1" t="s">
        <v>65</v>
      </c>
      <c r="B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s="1" t="s">
        <v>76</v>
      </c>
      <c r="N1" s="1" t="s">
        <v>77</v>
      </c>
      <c r="O1" t="s">
        <v>78</v>
      </c>
      <c r="P1" t="s">
        <v>79</v>
      </c>
      <c r="Q1" s="1" t="s">
        <v>80</v>
      </c>
      <c r="R1" s="1" t="s">
        <v>81</v>
      </c>
      <c r="S1" s="1" t="s">
        <v>82</v>
      </c>
      <c r="T1" s="1"/>
      <c r="U1" s="1"/>
    </row>
    <row r="2" spans="1:19">
      <c r="A2" s="1" t="s">
        <v>10</v>
      </c>
      <c r="B2" s="1" t="s">
        <v>11</v>
      </c>
      <c r="C2">
        <v>16</v>
      </c>
      <c r="D2">
        <f t="shared" ref="D2:D30" si="0">C2/128</f>
        <v>0.125</v>
      </c>
      <c r="E2">
        <v>1</v>
      </c>
      <c r="F2">
        <f t="shared" ref="F2:F30" si="1">E2/4</f>
        <v>0.25</v>
      </c>
      <c r="G2">
        <v>4.7</v>
      </c>
      <c r="H2">
        <f t="shared" ref="H2:H30" si="2">G2/5.5</f>
        <v>0.854545454545455</v>
      </c>
      <c r="I2" t="s">
        <v>83</v>
      </c>
      <c r="J2" s="3">
        <f t="shared" ref="J2:J30" si="3">VALUE(LEFT(I2,FIND("*",I2)-1))*VALUE(MID(I2,FIND("*",I2)+1,LEN(I2)))</f>
        <v>1000500</v>
      </c>
      <c r="K2">
        <f t="shared" ref="K2:K30" si="4">J2/2527200</f>
        <v>0.395892687559354</v>
      </c>
      <c r="L2">
        <v>60</v>
      </c>
      <c r="M2">
        <f t="shared" ref="M2:M30" si="5">L2/120</f>
        <v>0.5</v>
      </c>
      <c r="N2">
        <v>8</v>
      </c>
      <c r="O2">
        <f t="shared" ref="O2:O30" si="6">N2/16</f>
        <v>0.5</v>
      </c>
      <c r="P2">
        <v>1810</v>
      </c>
      <c r="Q2" s="1">
        <f t="shared" ref="Q2:Q30" si="7">P2/2716</f>
        <v>0.666421207658321</v>
      </c>
      <c r="R2" s="1">
        <v>10</v>
      </c>
      <c r="S2">
        <f t="shared" ref="S2:S30" si="8">R2/30</f>
        <v>0.333333333333333</v>
      </c>
    </row>
    <row r="3" spans="1:19">
      <c r="A3" t="s">
        <v>10</v>
      </c>
      <c r="B3" t="s">
        <v>13</v>
      </c>
      <c r="C3">
        <v>64</v>
      </c>
      <c r="D3">
        <f t="shared" si="0"/>
        <v>0.5</v>
      </c>
      <c r="E3">
        <v>3</v>
      </c>
      <c r="F3">
        <f t="shared" si="1"/>
        <v>0.75</v>
      </c>
      <c r="G3">
        <v>5.8</v>
      </c>
      <c r="H3">
        <f t="shared" si="2"/>
        <v>1.05454545454545</v>
      </c>
      <c r="I3" t="s">
        <v>84</v>
      </c>
      <c r="J3" s="3">
        <f t="shared" si="3"/>
        <v>2740500</v>
      </c>
      <c r="K3">
        <f t="shared" si="4"/>
        <v>1.08440170940171</v>
      </c>
      <c r="L3">
        <v>60</v>
      </c>
      <c r="M3">
        <f t="shared" si="5"/>
        <v>0.5</v>
      </c>
      <c r="N3">
        <v>12</v>
      </c>
      <c r="O3">
        <f t="shared" si="6"/>
        <v>0.75</v>
      </c>
      <c r="P3">
        <v>2716</v>
      </c>
      <c r="Q3" s="1">
        <f t="shared" si="7"/>
        <v>1</v>
      </c>
      <c r="R3" s="1">
        <v>15</v>
      </c>
      <c r="S3">
        <f t="shared" si="8"/>
        <v>0.5</v>
      </c>
    </row>
    <row r="4" spans="1:19">
      <c r="A4" t="s">
        <v>10</v>
      </c>
      <c r="B4" s="1" t="s">
        <v>15</v>
      </c>
      <c r="C4">
        <v>128</v>
      </c>
      <c r="D4">
        <f t="shared" si="0"/>
        <v>1</v>
      </c>
      <c r="E4" s="1">
        <v>4</v>
      </c>
      <c r="F4">
        <f t="shared" si="1"/>
        <v>1</v>
      </c>
      <c r="G4">
        <v>6.1</v>
      </c>
      <c r="H4">
        <f t="shared" si="2"/>
        <v>1.10909090909091</v>
      </c>
      <c r="I4" t="s">
        <v>85</v>
      </c>
      <c r="J4" s="3">
        <f t="shared" si="3"/>
        <v>2962440</v>
      </c>
      <c r="K4">
        <f t="shared" si="4"/>
        <v>1.17222222222222</v>
      </c>
      <c r="L4">
        <v>60</v>
      </c>
      <c r="M4">
        <f t="shared" si="5"/>
        <v>0.5</v>
      </c>
      <c r="N4" s="1">
        <v>12</v>
      </c>
      <c r="O4">
        <f t="shared" si="6"/>
        <v>0.75</v>
      </c>
      <c r="P4">
        <v>3240</v>
      </c>
      <c r="Q4" s="1">
        <f t="shared" si="7"/>
        <v>1.19293078055965</v>
      </c>
      <c r="R4" s="1">
        <v>15</v>
      </c>
      <c r="S4">
        <f t="shared" si="8"/>
        <v>0.5</v>
      </c>
    </row>
    <row r="5" spans="1:19">
      <c r="A5" t="s">
        <v>10</v>
      </c>
      <c r="B5" s="1" t="s">
        <v>17</v>
      </c>
      <c r="C5">
        <v>128</v>
      </c>
      <c r="D5">
        <f t="shared" si="0"/>
        <v>1</v>
      </c>
      <c r="E5">
        <v>6</v>
      </c>
      <c r="F5">
        <f t="shared" si="1"/>
        <v>1.5</v>
      </c>
      <c r="G5">
        <v>6.1</v>
      </c>
      <c r="H5">
        <f t="shared" si="2"/>
        <v>1.10909090909091</v>
      </c>
      <c r="I5" t="s">
        <v>85</v>
      </c>
      <c r="J5" s="3">
        <f t="shared" si="3"/>
        <v>2962440</v>
      </c>
      <c r="K5">
        <f t="shared" si="4"/>
        <v>1.17222222222222</v>
      </c>
      <c r="L5" s="1">
        <v>120</v>
      </c>
      <c r="M5">
        <f t="shared" si="5"/>
        <v>1</v>
      </c>
      <c r="N5">
        <v>12</v>
      </c>
      <c r="O5">
        <f t="shared" si="6"/>
        <v>0.75</v>
      </c>
      <c r="P5">
        <v>3095</v>
      </c>
      <c r="Q5" s="1">
        <f t="shared" si="7"/>
        <v>1.13954344624448</v>
      </c>
      <c r="R5" s="1">
        <v>15</v>
      </c>
      <c r="S5">
        <f t="shared" si="8"/>
        <v>0.5</v>
      </c>
    </row>
    <row r="6" spans="1:19">
      <c r="A6" t="s">
        <v>10</v>
      </c>
      <c r="B6" s="1" t="s">
        <v>18</v>
      </c>
      <c r="C6">
        <v>64</v>
      </c>
      <c r="D6">
        <f t="shared" si="0"/>
        <v>0.5</v>
      </c>
      <c r="E6">
        <v>4</v>
      </c>
      <c r="F6">
        <f t="shared" si="1"/>
        <v>1</v>
      </c>
      <c r="G6">
        <v>4.7</v>
      </c>
      <c r="H6">
        <f t="shared" si="2"/>
        <v>0.854545454545455</v>
      </c>
      <c r="I6" t="s">
        <v>86</v>
      </c>
      <c r="J6" s="3">
        <f t="shared" si="3"/>
        <v>1000500</v>
      </c>
      <c r="K6">
        <f t="shared" si="4"/>
        <v>0.395892687559354</v>
      </c>
      <c r="L6">
        <v>60</v>
      </c>
      <c r="M6">
        <f t="shared" si="5"/>
        <v>0.5</v>
      </c>
      <c r="N6" s="1">
        <v>12</v>
      </c>
      <c r="O6">
        <f t="shared" si="6"/>
        <v>0.75</v>
      </c>
      <c r="P6">
        <v>2018</v>
      </c>
      <c r="Q6" s="1">
        <f t="shared" si="7"/>
        <v>0.74300441826215</v>
      </c>
      <c r="R6" s="1">
        <v>18</v>
      </c>
      <c r="S6">
        <f t="shared" si="8"/>
        <v>0.6</v>
      </c>
    </row>
    <row r="7" spans="1:19">
      <c r="A7" s="1" t="s">
        <v>19</v>
      </c>
      <c r="B7" s="1" t="s">
        <v>20</v>
      </c>
      <c r="C7">
        <v>128</v>
      </c>
      <c r="D7">
        <f t="shared" si="0"/>
        <v>1</v>
      </c>
      <c r="E7">
        <v>6</v>
      </c>
      <c r="F7">
        <f t="shared" si="1"/>
        <v>1.5</v>
      </c>
      <c r="G7">
        <v>5.15</v>
      </c>
      <c r="H7">
        <f t="shared" si="2"/>
        <v>0.936363636363636</v>
      </c>
      <c r="I7" t="s">
        <v>87</v>
      </c>
      <c r="J7" s="3">
        <f t="shared" si="3"/>
        <v>2073600</v>
      </c>
      <c r="K7">
        <f t="shared" si="4"/>
        <v>0.82051282051282</v>
      </c>
      <c r="L7">
        <v>60</v>
      </c>
      <c r="M7">
        <f t="shared" si="5"/>
        <v>0.5</v>
      </c>
      <c r="N7">
        <v>12</v>
      </c>
      <c r="O7">
        <f t="shared" si="6"/>
        <v>0.75</v>
      </c>
      <c r="P7">
        <v>3350</v>
      </c>
      <c r="Q7" s="1">
        <f t="shared" si="7"/>
        <v>1.23343151693667</v>
      </c>
      <c r="R7" s="1">
        <v>18</v>
      </c>
      <c r="S7">
        <f t="shared" si="8"/>
        <v>0.6</v>
      </c>
    </row>
    <row r="8" spans="1:19">
      <c r="A8" t="s">
        <v>19</v>
      </c>
      <c r="B8" s="1" t="s">
        <v>22</v>
      </c>
      <c r="C8">
        <v>64</v>
      </c>
      <c r="D8">
        <f t="shared" si="0"/>
        <v>0.5</v>
      </c>
      <c r="E8">
        <v>6</v>
      </c>
      <c r="F8">
        <f t="shared" si="1"/>
        <v>1.5</v>
      </c>
      <c r="G8">
        <v>6.21</v>
      </c>
      <c r="H8">
        <f t="shared" si="2"/>
        <v>1.12909090909091</v>
      </c>
      <c r="I8" t="s">
        <v>88</v>
      </c>
      <c r="J8" s="3">
        <f t="shared" si="3"/>
        <v>2427840</v>
      </c>
      <c r="K8">
        <f t="shared" si="4"/>
        <v>0.960683760683761</v>
      </c>
      <c r="L8">
        <v>60</v>
      </c>
      <c r="M8">
        <f t="shared" si="5"/>
        <v>0.5</v>
      </c>
      <c r="N8">
        <v>12</v>
      </c>
      <c r="O8">
        <f t="shared" si="6"/>
        <v>0.75</v>
      </c>
      <c r="P8">
        <v>3400</v>
      </c>
      <c r="Q8" s="1">
        <f t="shared" si="7"/>
        <v>1.25184094256259</v>
      </c>
      <c r="R8" s="1">
        <v>18</v>
      </c>
      <c r="S8">
        <f t="shared" si="8"/>
        <v>0.6</v>
      </c>
    </row>
    <row r="9" spans="1:19">
      <c r="A9" t="s">
        <v>19</v>
      </c>
      <c r="B9" s="1" t="s">
        <v>24</v>
      </c>
      <c r="C9">
        <v>128</v>
      </c>
      <c r="D9">
        <f t="shared" si="0"/>
        <v>1</v>
      </c>
      <c r="E9">
        <v>8</v>
      </c>
      <c r="F9">
        <f t="shared" si="1"/>
        <v>2</v>
      </c>
      <c r="G9">
        <v>6.36</v>
      </c>
      <c r="H9">
        <f t="shared" si="2"/>
        <v>1.15636363636364</v>
      </c>
      <c r="I9" t="s">
        <v>89</v>
      </c>
      <c r="J9" s="3">
        <f t="shared" si="3"/>
        <v>2592000</v>
      </c>
      <c r="K9">
        <f t="shared" si="4"/>
        <v>1.02564102564103</v>
      </c>
      <c r="L9">
        <v>120</v>
      </c>
      <c r="M9">
        <f t="shared" si="5"/>
        <v>1</v>
      </c>
      <c r="N9">
        <v>50</v>
      </c>
      <c r="O9">
        <f t="shared" si="6"/>
        <v>3.125</v>
      </c>
      <c r="P9">
        <v>4500</v>
      </c>
      <c r="Q9" s="1">
        <f t="shared" si="7"/>
        <v>1.65684830633284</v>
      </c>
      <c r="R9" s="1">
        <v>67</v>
      </c>
      <c r="S9">
        <f t="shared" si="8"/>
        <v>2.23333333333333</v>
      </c>
    </row>
    <row r="10" spans="1:19">
      <c r="A10" t="s">
        <v>19</v>
      </c>
      <c r="B10" s="1" t="s">
        <v>90</v>
      </c>
      <c r="C10">
        <v>64</v>
      </c>
      <c r="D10">
        <f t="shared" si="0"/>
        <v>0.5</v>
      </c>
      <c r="E10">
        <v>6</v>
      </c>
      <c r="F10">
        <f t="shared" si="1"/>
        <v>1.5</v>
      </c>
      <c r="G10">
        <v>6.39</v>
      </c>
      <c r="H10">
        <f t="shared" si="2"/>
        <v>1.16181818181818</v>
      </c>
      <c r="I10" t="s">
        <v>91</v>
      </c>
      <c r="J10" s="3">
        <f t="shared" si="3"/>
        <v>2527200</v>
      </c>
      <c r="K10">
        <f t="shared" si="4"/>
        <v>1</v>
      </c>
      <c r="L10">
        <v>60</v>
      </c>
      <c r="M10">
        <f t="shared" si="5"/>
        <v>0.5</v>
      </c>
      <c r="N10">
        <v>48</v>
      </c>
      <c r="O10">
        <f t="shared" si="6"/>
        <v>3</v>
      </c>
      <c r="P10">
        <v>4000</v>
      </c>
      <c r="Q10" s="1">
        <f t="shared" si="7"/>
        <v>1.47275405007364</v>
      </c>
      <c r="R10">
        <v>27</v>
      </c>
      <c r="S10">
        <f t="shared" si="8"/>
        <v>0.9</v>
      </c>
    </row>
    <row r="11" spans="1:19">
      <c r="A11" t="s">
        <v>19</v>
      </c>
      <c r="B11" s="1" t="s">
        <v>92</v>
      </c>
      <c r="C11">
        <v>128</v>
      </c>
      <c r="D11">
        <f t="shared" si="0"/>
        <v>1</v>
      </c>
      <c r="E11">
        <v>8</v>
      </c>
      <c r="F11">
        <f t="shared" si="1"/>
        <v>2</v>
      </c>
      <c r="G11">
        <v>6.67</v>
      </c>
      <c r="H11">
        <f t="shared" si="2"/>
        <v>1.21272727272727</v>
      </c>
      <c r="I11" t="s">
        <v>93</v>
      </c>
      <c r="J11" s="3">
        <f t="shared" si="3"/>
        <v>4608000</v>
      </c>
      <c r="K11">
        <f t="shared" si="4"/>
        <v>1.82336182336182</v>
      </c>
      <c r="L11">
        <v>120</v>
      </c>
      <c r="M11">
        <f t="shared" si="5"/>
        <v>1</v>
      </c>
      <c r="N11">
        <v>48</v>
      </c>
      <c r="O11">
        <f t="shared" si="6"/>
        <v>3</v>
      </c>
      <c r="P11">
        <v>5500</v>
      </c>
      <c r="Q11" s="1">
        <f t="shared" si="7"/>
        <v>2.02503681885125</v>
      </c>
      <c r="R11">
        <v>67</v>
      </c>
      <c r="S11">
        <f t="shared" si="8"/>
        <v>2.23333333333333</v>
      </c>
    </row>
    <row r="12" spans="1:19">
      <c r="A12" t="s">
        <v>19</v>
      </c>
      <c r="B12" s="1" t="s">
        <v>94</v>
      </c>
      <c r="C12">
        <v>128</v>
      </c>
      <c r="D12">
        <f t="shared" si="0"/>
        <v>1</v>
      </c>
      <c r="E12">
        <v>4</v>
      </c>
      <c r="F12">
        <f t="shared" si="1"/>
        <v>1</v>
      </c>
      <c r="G12">
        <v>6.74</v>
      </c>
      <c r="H12">
        <f t="shared" si="2"/>
        <v>1.22545454545455</v>
      </c>
      <c r="I12" t="s">
        <v>95</v>
      </c>
      <c r="J12" s="3">
        <f t="shared" si="3"/>
        <v>1152000</v>
      </c>
      <c r="K12">
        <f t="shared" si="4"/>
        <v>0.455840455840456</v>
      </c>
      <c r="L12">
        <v>90</v>
      </c>
      <c r="M12">
        <f t="shared" si="5"/>
        <v>0.75</v>
      </c>
      <c r="N12">
        <v>50</v>
      </c>
      <c r="O12">
        <f t="shared" si="6"/>
        <v>3.125</v>
      </c>
      <c r="P12">
        <v>5000</v>
      </c>
      <c r="Q12" s="1">
        <f t="shared" si="7"/>
        <v>1.84094256259205</v>
      </c>
      <c r="R12">
        <v>18</v>
      </c>
      <c r="S12">
        <f t="shared" si="8"/>
        <v>0.6</v>
      </c>
    </row>
    <row r="13" spans="1:19">
      <c r="A13" t="s">
        <v>32</v>
      </c>
      <c r="B13" s="1" t="s">
        <v>33</v>
      </c>
      <c r="C13">
        <v>256</v>
      </c>
      <c r="D13">
        <f t="shared" si="0"/>
        <v>2</v>
      </c>
      <c r="E13">
        <v>8</v>
      </c>
      <c r="F13">
        <f t="shared" si="1"/>
        <v>2</v>
      </c>
      <c r="G13" s="1">
        <v>6.6</v>
      </c>
      <c r="H13">
        <f t="shared" si="2"/>
        <v>1.2</v>
      </c>
      <c r="I13" t="s">
        <v>96</v>
      </c>
      <c r="J13" s="3">
        <f t="shared" si="3"/>
        <v>3168000</v>
      </c>
      <c r="K13">
        <f t="shared" si="4"/>
        <v>1.25356125356125</v>
      </c>
      <c r="L13">
        <v>90</v>
      </c>
      <c r="M13">
        <f t="shared" si="5"/>
        <v>0.75</v>
      </c>
      <c r="N13">
        <v>50</v>
      </c>
      <c r="O13">
        <f t="shared" si="6"/>
        <v>3.125</v>
      </c>
      <c r="P13">
        <v>4200</v>
      </c>
      <c r="Q13" s="1">
        <f t="shared" si="7"/>
        <v>1.54639175257732</v>
      </c>
      <c r="R13" s="1">
        <v>40</v>
      </c>
      <c r="S13">
        <f t="shared" si="8"/>
        <v>1.33333333333333</v>
      </c>
    </row>
    <row r="14" spans="1:19">
      <c r="A14" t="s">
        <v>32</v>
      </c>
      <c r="B14" s="1" t="s">
        <v>35</v>
      </c>
      <c r="C14">
        <v>128</v>
      </c>
      <c r="D14">
        <f t="shared" si="0"/>
        <v>1</v>
      </c>
      <c r="E14">
        <v>8</v>
      </c>
      <c r="F14">
        <f t="shared" si="1"/>
        <v>2</v>
      </c>
      <c r="G14" s="1">
        <v>6.62</v>
      </c>
      <c r="H14">
        <f t="shared" si="2"/>
        <v>1.20363636363636</v>
      </c>
      <c r="I14" s="1" t="s">
        <v>91</v>
      </c>
      <c r="J14" s="3">
        <f t="shared" si="3"/>
        <v>2527200</v>
      </c>
      <c r="K14">
        <f t="shared" si="4"/>
        <v>1</v>
      </c>
      <c r="L14">
        <v>60</v>
      </c>
      <c r="M14">
        <f t="shared" si="5"/>
        <v>0.5</v>
      </c>
      <c r="N14">
        <v>40</v>
      </c>
      <c r="O14">
        <f t="shared" si="6"/>
        <v>2.5</v>
      </c>
      <c r="P14">
        <v>4200</v>
      </c>
      <c r="Q14" s="1">
        <f t="shared" si="7"/>
        <v>1.54639175257732</v>
      </c>
      <c r="R14" s="1">
        <v>40</v>
      </c>
      <c r="S14">
        <f t="shared" si="8"/>
        <v>1.33333333333333</v>
      </c>
    </row>
    <row r="15" spans="1:19">
      <c r="A15" t="s">
        <v>32</v>
      </c>
      <c r="B15" s="1" t="s">
        <v>36</v>
      </c>
      <c r="C15">
        <v>64</v>
      </c>
      <c r="D15">
        <f t="shared" si="0"/>
        <v>0.5</v>
      </c>
      <c r="E15">
        <v>6</v>
      </c>
      <c r="F15">
        <f t="shared" si="1"/>
        <v>1.5</v>
      </c>
      <c r="G15">
        <v>5.9</v>
      </c>
      <c r="H15">
        <f t="shared" si="2"/>
        <v>1.07272727272727</v>
      </c>
      <c r="I15" s="1" t="s">
        <v>97</v>
      </c>
      <c r="J15" s="3">
        <f t="shared" si="3"/>
        <v>2332800</v>
      </c>
      <c r="K15">
        <f t="shared" si="4"/>
        <v>0.923076923076923</v>
      </c>
      <c r="L15">
        <v>60</v>
      </c>
      <c r="M15">
        <f t="shared" si="5"/>
        <v>0.5</v>
      </c>
      <c r="N15" s="1">
        <v>8</v>
      </c>
      <c r="O15">
        <f t="shared" si="6"/>
        <v>0.5</v>
      </c>
      <c r="P15">
        <v>4000</v>
      </c>
      <c r="Q15" s="1">
        <f t="shared" si="7"/>
        <v>1.47275405007364</v>
      </c>
      <c r="R15" s="1">
        <v>22.5</v>
      </c>
      <c r="S15">
        <f t="shared" si="8"/>
        <v>0.75</v>
      </c>
    </row>
    <row r="16" spans="1:19">
      <c r="A16" t="s">
        <v>32</v>
      </c>
      <c r="B16" s="1" t="s">
        <v>38</v>
      </c>
      <c r="C16">
        <v>32</v>
      </c>
      <c r="D16">
        <f t="shared" si="0"/>
        <v>0.25</v>
      </c>
      <c r="E16">
        <v>4</v>
      </c>
      <c r="F16">
        <f t="shared" si="1"/>
        <v>1</v>
      </c>
      <c r="G16">
        <v>5.1</v>
      </c>
      <c r="H16">
        <f t="shared" si="2"/>
        <v>0.927272727272727</v>
      </c>
      <c r="I16" t="s">
        <v>87</v>
      </c>
      <c r="J16" s="3">
        <f t="shared" si="3"/>
        <v>2073600</v>
      </c>
      <c r="K16">
        <f t="shared" si="4"/>
        <v>0.82051282051282</v>
      </c>
      <c r="L16">
        <v>60</v>
      </c>
      <c r="M16">
        <f t="shared" si="5"/>
        <v>0.5</v>
      </c>
      <c r="N16">
        <v>12</v>
      </c>
      <c r="O16">
        <f t="shared" si="6"/>
        <v>0.75</v>
      </c>
      <c r="P16">
        <v>3200</v>
      </c>
      <c r="Q16" s="1">
        <f t="shared" si="7"/>
        <v>1.17820324005891</v>
      </c>
      <c r="R16" s="1">
        <v>22.5</v>
      </c>
      <c r="S16">
        <f t="shared" si="8"/>
        <v>0.75</v>
      </c>
    </row>
    <row r="17" spans="1:19">
      <c r="A17" t="s">
        <v>32</v>
      </c>
      <c r="B17" s="1" t="s">
        <v>98</v>
      </c>
      <c r="C17">
        <v>256</v>
      </c>
      <c r="D17">
        <f t="shared" si="0"/>
        <v>2</v>
      </c>
      <c r="E17">
        <v>8</v>
      </c>
      <c r="F17">
        <f t="shared" si="1"/>
        <v>2</v>
      </c>
      <c r="G17">
        <v>6.67</v>
      </c>
      <c r="H17">
        <f t="shared" si="2"/>
        <v>1.21272727272727</v>
      </c>
      <c r="I17" t="s">
        <v>89</v>
      </c>
      <c r="J17" s="3">
        <f t="shared" si="3"/>
        <v>2592000</v>
      </c>
      <c r="K17">
        <f t="shared" si="4"/>
        <v>1.02564102564103</v>
      </c>
      <c r="L17">
        <v>90</v>
      </c>
      <c r="M17">
        <f t="shared" si="5"/>
        <v>0.75</v>
      </c>
      <c r="N17">
        <v>108</v>
      </c>
      <c r="O17">
        <f t="shared" si="6"/>
        <v>6.75</v>
      </c>
      <c r="P17">
        <v>4500</v>
      </c>
      <c r="Q17" s="1">
        <f t="shared" si="7"/>
        <v>1.65684830633284</v>
      </c>
      <c r="R17">
        <v>66</v>
      </c>
      <c r="S17">
        <f t="shared" si="8"/>
        <v>2.2</v>
      </c>
    </row>
    <row r="18" spans="1:19">
      <c r="A18" t="s">
        <v>32</v>
      </c>
      <c r="B18" s="1" t="s">
        <v>42</v>
      </c>
      <c r="C18">
        <v>128</v>
      </c>
      <c r="D18">
        <f t="shared" si="0"/>
        <v>1</v>
      </c>
      <c r="E18">
        <v>8</v>
      </c>
      <c r="F18">
        <f t="shared" si="1"/>
        <v>2</v>
      </c>
      <c r="G18">
        <v>6.67</v>
      </c>
      <c r="H18">
        <f t="shared" si="2"/>
        <v>1.21272727272727</v>
      </c>
      <c r="I18" t="s">
        <v>99</v>
      </c>
      <c r="J18" s="3">
        <f t="shared" si="3"/>
        <v>1154880</v>
      </c>
      <c r="K18">
        <f t="shared" si="4"/>
        <v>0.456980056980057</v>
      </c>
      <c r="L18">
        <v>90</v>
      </c>
      <c r="M18">
        <f t="shared" si="5"/>
        <v>0.75</v>
      </c>
      <c r="N18">
        <v>50</v>
      </c>
      <c r="O18">
        <f t="shared" si="6"/>
        <v>3.125</v>
      </c>
      <c r="P18">
        <v>6620</v>
      </c>
      <c r="Q18" s="1">
        <f t="shared" si="7"/>
        <v>2.43740795287187</v>
      </c>
      <c r="R18">
        <v>40</v>
      </c>
      <c r="S18">
        <f t="shared" si="8"/>
        <v>1.33333333333333</v>
      </c>
    </row>
    <row r="19" spans="1:19">
      <c r="A19" t="s">
        <v>44</v>
      </c>
      <c r="B19" s="1" t="s">
        <v>100</v>
      </c>
      <c r="C19">
        <v>16</v>
      </c>
      <c r="D19">
        <f t="shared" si="0"/>
        <v>0.125</v>
      </c>
      <c r="E19">
        <v>2</v>
      </c>
      <c r="F19">
        <f t="shared" si="1"/>
        <v>0.5</v>
      </c>
      <c r="G19">
        <v>5.5</v>
      </c>
      <c r="H19">
        <f t="shared" si="2"/>
        <v>1</v>
      </c>
      <c r="I19" s="1" t="s">
        <v>87</v>
      </c>
      <c r="J19" s="3">
        <f t="shared" si="3"/>
        <v>2073600</v>
      </c>
      <c r="K19">
        <f t="shared" si="4"/>
        <v>0.82051282051282</v>
      </c>
      <c r="L19" s="1">
        <v>60</v>
      </c>
      <c r="M19">
        <f t="shared" si="5"/>
        <v>0.5</v>
      </c>
      <c r="N19" s="1">
        <v>13</v>
      </c>
      <c r="O19">
        <f t="shared" si="6"/>
        <v>0.8125</v>
      </c>
      <c r="P19">
        <v>2000</v>
      </c>
      <c r="Q19" s="1">
        <f t="shared" si="7"/>
        <v>0.736377025036819</v>
      </c>
      <c r="R19" s="1">
        <v>10</v>
      </c>
      <c r="S19">
        <f t="shared" si="8"/>
        <v>0.333333333333333</v>
      </c>
    </row>
    <row r="20" spans="1:19">
      <c r="A20" s="1" t="s">
        <v>44</v>
      </c>
      <c r="B20" s="1" t="s">
        <v>47</v>
      </c>
      <c r="C20">
        <v>128</v>
      </c>
      <c r="D20">
        <f t="shared" si="0"/>
        <v>1</v>
      </c>
      <c r="E20" s="1">
        <v>4</v>
      </c>
      <c r="F20">
        <f t="shared" si="1"/>
        <v>1</v>
      </c>
      <c r="G20" s="1">
        <v>5.46</v>
      </c>
      <c r="H20">
        <f t="shared" si="2"/>
        <v>0.992727272727273</v>
      </c>
      <c r="I20" s="1" t="s">
        <v>101</v>
      </c>
      <c r="J20" s="3">
        <f t="shared" si="3"/>
        <v>3686400</v>
      </c>
      <c r="K20">
        <f t="shared" si="4"/>
        <v>1.45868945868946</v>
      </c>
      <c r="L20">
        <v>60</v>
      </c>
      <c r="M20">
        <f t="shared" si="5"/>
        <v>0.5</v>
      </c>
      <c r="N20" s="1">
        <v>16</v>
      </c>
      <c r="O20">
        <f t="shared" si="6"/>
        <v>1</v>
      </c>
      <c r="P20">
        <v>3600</v>
      </c>
      <c r="Q20" s="1">
        <f t="shared" si="7"/>
        <v>1.32547864506627</v>
      </c>
      <c r="R20" s="1">
        <v>10</v>
      </c>
      <c r="S20">
        <f t="shared" si="8"/>
        <v>0.333333333333333</v>
      </c>
    </row>
    <row r="21" spans="1:19">
      <c r="A21" t="s">
        <v>44</v>
      </c>
      <c r="B21" s="1" t="s">
        <v>49</v>
      </c>
      <c r="C21">
        <v>128</v>
      </c>
      <c r="D21">
        <f t="shared" si="0"/>
        <v>1</v>
      </c>
      <c r="E21">
        <v>8</v>
      </c>
      <c r="F21">
        <f t="shared" si="1"/>
        <v>2</v>
      </c>
      <c r="G21">
        <v>6.56</v>
      </c>
      <c r="H21">
        <f t="shared" si="2"/>
        <v>1.19272727272727</v>
      </c>
      <c r="I21" t="s">
        <v>102</v>
      </c>
      <c r="J21" s="3">
        <f t="shared" si="3"/>
        <v>2566080</v>
      </c>
      <c r="K21">
        <f t="shared" si="4"/>
        <v>1.01538461538462</v>
      </c>
      <c r="L21">
        <v>120</v>
      </c>
      <c r="M21">
        <f t="shared" si="5"/>
        <v>1</v>
      </c>
      <c r="N21">
        <v>50</v>
      </c>
      <c r="O21">
        <f t="shared" si="6"/>
        <v>3.125</v>
      </c>
      <c r="P21">
        <v>4350</v>
      </c>
      <c r="Q21" s="1">
        <f t="shared" si="7"/>
        <v>1.60162002945508</v>
      </c>
      <c r="R21" s="1">
        <v>44</v>
      </c>
      <c r="S21">
        <f t="shared" si="8"/>
        <v>1.46666666666667</v>
      </c>
    </row>
    <row r="22" spans="1:19">
      <c r="A22" t="s">
        <v>44</v>
      </c>
      <c r="B22" s="1" t="s">
        <v>51</v>
      </c>
      <c r="C22">
        <v>256</v>
      </c>
      <c r="D22">
        <f t="shared" si="0"/>
        <v>2</v>
      </c>
      <c r="E22" s="1">
        <v>12</v>
      </c>
      <c r="F22">
        <f t="shared" si="1"/>
        <v>3</v>
      </c>
      <c r="G22" s="1">
        <v>6.78</v>
      </c>
      <c r="H22">
        <f t="shared" si="2"/>
        <v>1.23272727272727</v>
      </c>
      <c r="I22" t="s">
        <v>93</v>
      </c>
      <c r="J22" s="3">
        <f t="shared" si="3"/>
        <v>4608000</v>
      </c>
      <c r="K22">
        <f t="shared" si="4"/>
        <v>1.82336182336182</v>
      </c>
      <c r="L22" s="1">
        <v>120</v>
      </c>
      <c r="M22">
        <f t="shared" si="5"/>
        <v>1</v>
      </c>
      <c r="N22">
        <v>50</v>
      </c>
      <c r="O22">
        <f t="shared" si="6"/>
        <v>3.125</v>
      </c>
      <c r="P22" s="1">
        <v>4700</v>
      </c>
      <c r="Q22" s="1">
        <f t="shared" si="7"/>
        <v>1.73048600883652</v>
      </c>
      <c r="R22" s="1">
        <v>50</v>
      </c>
      <c r="S22">
        <f t="shared" si="8"/>
        <v>1.66666666666667</v>
      </c>
    </row>
    <row r="23" spans="1:19">
      <c r="A23" t="s">
        <v>103</v>
      </c>
      <c r="B23" s="1" t="s">
        <v>53</v>
      </c>
      <c r="C23" s="1">
        <v>128</v>
      </c>
      <c r="D23">
        <f t="shared" si="0"/>
        <v>1</v>
      </c>
      <c r="E23" s="1">
        <v>10</v>
      </c>
      <c r="F23">
        <f t="shared" si="1"/>
        <v>2.5</v>
      </c>
      <c r="G23">
        <v>6.41</v>
      </c>
      <c r="H23">
        <f t="shared" si="2"/>
        <v>1.16545454545455</v>
      </c>
      <c r="I23" t="s">
        <v>91</v>
      </c>
      <c r="J23" s="3">
        <f t="shared" si="3"/>
        <v>2527200</v>
      </c>
      <c r="K23">
        <f t="shared" si="4"/>
        <v>1</v>
      </c>
      <c r="L23">
        <v>60</v>
      </c>
      <c r="M23">
        <f t="shared" si="5"/>
        <v>0.5</v>
      </c>
      <c r="N23">
        <v>13</v>
      </c>
      <c r="O23">
        <f t="shared" si="6"/>
        <v>0.8125</v>
      </c>
      <c r="P23">
        <v>4000</v>
      </c>
      <c r="Q23" s="1">
        <f t="shared" si="7"/>
        <v>1.47275405007364</v>
      </c>
      <c r="R23">
        <v>44</v>
      </c>
      <c r="S23">
        <f t="shared" si="8"/>
        <v>1.46666666666667</v>
      </c>
    </row>
    <row r="24" spans="1:19">
      <c r="A24" t="s">
        <v>55</v>
      </c>
      <c r="B24" t="s">
        <v>56</v>
      </c>
      <c r="C24">
        <v>32</v>
      </c>
      <c r="D24">
        <f t="shared" si="0"/>
        <v>0.25</v>
      </c>
      <c r="E24">
        <v>4</v>
      </c>
      <c r="F24">
        <f t="shared" si="1"/>
        <v>1</v>
      </c>
      <c r="G24">
        <v>4.6</v>
      </c>
      <c r="H24">
        <f t="shared" si="2"/>
        <v>0.836363636363636</v>
      </c>
      <c r="I24" s="1" t="s">
        <v>104</v>
      </c>
      <c r="J24" s="3">
        <f t="shared" si="3"/>
        <v>921600</v>
      </c>
      <c r="K24">
        <f t="shared" si="4"/>
        <v>0.364672364672365</v>
      </c>
      <c r="L24">
        <v>60</v>
      </c>
      <c r="M24">
        <f t="shared" si="5"/>
        <v>0.5</v>
      </c>
      <c r="N24">
        <v>19</v>
      </c>
      <c r="O24">
        <f t="shared" si="6"/>
        <v>1.1875</v>
      </c>
      <c r="P24">
        <v>2700</v>
      </c>
      <c r="Q24" s="1">
        <f t="shared" si="7"/>
        <v>0.994108983799705</v>
      </c>
      <c r="R24" s="1">
        <v>18</v>
      </c>
      <c r="S24">
        <f t="shared" si="8"/>
        <v>0.6</v>
      </c>
    </row>
    <row r="25" spans="1:19">
      <c r="A25" t="s">
        <v>55</v>
      </c>
      <c r="B25" s="1" t="s">
        <v>57</v>
      </c>
      <c r="C25">
        <v>128</v>
      </c>
      <c r="D25">
        <f t="shared" si="0"/>
        <v>1</v>
      </c>
      <c r="E25">
        <v>8</v>
      </c>
      <c r="F25">
        <f t="shared" si="1"/>
        <v>2</v>
      </c>
      <c r="G25">
        <v>6.1</v>
      </c>
      <c r="H25">
        <f t="shared" si="2"/>
        <v>1.10909090909091</v>
      </c>
      <c r="I25" t="s">
        <v>105</v>
      </c>
      <c r="J25" s="3">
        <f t="shared" si="3"/>
        <v>2721600</v>
      </c>
      <c r="K25">
        <f t="shared" si="4"/>
        <v>1.07692307692308</v>
      </c>
      <c r="L25">
        <v>120</v>
      </c>
      <c r="M25">
        <f t="shared" si="5"/>
        <v>1</v>
      </c>
      <c r="N25" s="1">
        <v>12</v>
      </c>
      <c r="O25">
        <f t="shared" si="6"/>
        <v>0.75</v>
      </c>
      <c r="P25">
        <v>4000</v>
      </c>
      <c r="Q25" s="1">
        <f t="shared" si="7"/>
        <v>1.47275405007364</v>
      </c>
      <c r="R25" s="1">
        <v>21</v>
      </c>
      <c r="S25">
        <f t="shared" si="8"/>
        <v>0.7</v>
      </c>
    </row>
    <row r="26" spans="1:19">
      <c r="A26" t="s">
        <v>55</v>
      </c>
      <c r="B26" s="1" t="s">
        <v>58</v>
      </c>
      <c r="C26">
        <v>256</v>
      </c>
      <c r="D26">
        <f t="shared" si="0"/>
        <v>2</v>
      </c>
      <c r="E26">
        <v>12</v>
      </c>
      <c r="F26">
        <f t="shared" si="1"/>
        <v>3</v>
      </c>
      <c r="G26">
        <v>6.5</v>
      </c>
      <c r="H26">
        <f t="shared" si="2"/>
        <v>1.18181818181818</v>
      </c>
      <c r="I26" t="s">
        <v>106</v>
      </c>
      <c r="J26" s="3">
        <f t="shared" si="3"/>
        <v>6312960</v>
      </c>
      <c r="K26">
        <f t="shared" si="4"/>
        <v>2.4980056980057</v>
      </c>
      <c r="L26">
        <v>120</v>
      </c>
      <c r="M26">
        <f t="shared" si="5"/>
        <v>1</v>
      </c>
      <c r="N26">
        <v>48</v>
      </c>
      <c r="O26">
        <f t="shared" si="6"/>
        <v>3</v>
      </c>
      <c r="P26">
        <v>5000</v>
      </c>
      <c r="Q26" s="1">
        <f t="shared" si="7"/>
        <v>1.84094256259205</v>
      </c>
      <c r="R26" s="1">
        <v>30</v>
      </c>
      <c r="S26">
        <f t="shared" si="8"/>
        <v>1</v>
      </c>
    </row>
    <row r="27" spans="1:19">
      <c r="A27" t="s">
        <v>59</v>
      </c>
      <c r="B27" s="1" t="s">
        <v>60</v>
      </c>
      <c r="C27">
        <v>64</v>
      </c>
      <c r="D27">
        <f t="shared" si="0"/>
        <v>0.5</v>
      </c>
      <c r="E27">
        <v>6</v>
      </c>
      <c r="F27">
        <f t="shared" si="1"/>
        <v>1.5</v>
      </c>
      <c r="G27">
        <v>6.3</v>
      </c>
      <c r="H27">
        <f t="shared" si="2"/>
        <v>1.14545454545455</v>
      </c>
      <c r="I27" t="s">
        <v>107</v>
      </c>
      <c r="J27" s="3">
        <f t="shared" si="3"/>
        <v>4262400</v>
      </c>
      <c r="K27">
        <f t="shared" si="4"/>
        <v>1.68660968660969</v>
      </c>
      <c r="L27">
        <v>60</v>
      </c>
      <c r="M27">
        <f t="shared" si="5"/>
        <v>0.5</v>
      </c>
      <c r="N27" s="1">
        <v>12</v>
      </c>
      <c r="O27">
        <f t="shared" si="6"/>
        <v>0.75</v>
      </c>
      <c r="P27">
        <v>3300</v>
      </c>
      <c r="Q27" s="1">
        <f t="shared" si="7"/>
        <v>1.21502209131075</v>
      </c>
      <c r="R27" s="1">
        <v>15</v>
      </c>
      <c r="S27">
        <f t="shared" si="8"/>
        <v>0.5</v>
      </c>
    </row>
    <row r="28" spans="1:19">
      <c r="A28" t="s">
        <v>59</v>
      </c>
      <c r="B28" s="1" t="s">
        <v>61</v>
      </c>
      <c r="C28">
        <v>128</v>
      </c>
      <c r="D28">
        <f t="shared" si="0"/>
        <v>1</v>
      </c>
      <c r="E28">
        <v>8</v>
      </c>
      <c r="F28">
        <f t="shared" si="1"/>
        <v>2</v>
      </c>
      <c r="G28">
        <v>6.4</v>
      </c>
      <c r="H28">
        <f t="shared" si="2"/>
        <v>1.16363636363636</v>
      </c>
      <c r="I28" t="s">
        <v>108</v>
      </c>
      <c r="J28" s="3">
        <f t="shared" si="3"/>
        <v>4377600</v>
      </c>
      <c r="K28">
        <f t="shared" si="4"/>
        <v>1.73219373219373</v>
      </c>
      <c r="L28" s="1">
        <v>90</v>
      </c>
      <c r="M28">
        <f t="shared" si="5"/>
        <v>0.75</v>
      </c>
      <c r="N28" s="1">
        <v>12</v>
      </c>
      <c r="O28">
        <f t="shared" si="6"/>
        <v>0.75</v>
      </c>
      <c r="P28">
        <v>4100</v>
      </c>
      <c r="Q28" s="1">
        <f t="shared" si="7"/>
        <v>1.50957290132548</v>
      </c>
      <c r="R28" s="1">
        <v>15</v>
      </c>
      <c r="S28">
        <f t="shared" si="8"/>
        <v>0.5</v>
      </c>
    </row>
    <row r="29" spans="1:19">
      <c r="A29" t="s">
        <v>59</v>
      </c>
      <c r="B29" s="1" t="s">
        <v>62</v>
      </c>
      <c r="C29">
        <v>128</v>
      </c>
      <c r="D29">
        <f t="shared" si="0"/>
        <v>1</v>
      </c>
      <c r="E29">
        <v>12</v>
      </c>
      <c r="F29">
        <f t="shared" si="1"/>
        <v>3</v>
      </c>
      <c r="G29">
        <v>6.9</v>
      </c>
      <c r="H29">
        <f t="shared" si="2"/>
        <v>1.25454545454545</v>
      </c>
      <c r="I29" t="s">
        <v>109</v>
      </c>
      <c r="J29" s="3">
        <f t="shared" si="3"/>
        <v>4608000</v>
      </c>
      <c r="K29">
        <f t="shared" si="4"/>
        <v>1.82336182336182</v>
      </c>
      <c r="L29" s="1">
        <v>120</v>
      </c>
      <c r="M29">
        <f t="shared" si="5"/>
        <v>1</v>
      </c>
      <c r="N29">
        <v>108</v>
      </c>
      <c r="O29">
        <f t="shared" si="6"/>
        <v>6.75</v>
      </c>
      <c r="P29">
        <v>5000</v>
      </c>
      <c r="Q29" s="1">
        <f t="shared" si="7"/>
        <v>1.84094256259205</v>
      </c>
      <c r="R29" s="1">
        <v>45</v>
      </c>
      <c r="S29">
        <f t="shared" si="8"/>
        <v>1.5</v>
      </c>
    </row>
    <row r="30" spans="1:19">
      <c r="A30" t="s">
        <v>59</v>
      </c>
      <c r="B30" t="s">
        <v>63</v>
      </c>
      <c r="C30">
        <v>128</v>
      </c>
      <c r="D30">
        <f t="shared" si="0"/>
        <v>1</v>
      </c>
      <c r="E30">
        <v>8</v>
      </c>
      <c r="F30">
        <f t="shared" si="1"/>
        <v>2</v>
      </c>
      <c r="G30">
        <v>6.2</v>
      </c>
      <c r="H30">
        <f t="shared" si="2"/>
        <v>1.12727272727273</v>
      </c>
      <c r="I30" t="s">
        <v>91</v>
      </c>
      <c r="J30" s="3">
        <f t="shared" si="3"/>
        <v>2527200</v>
      </c>
      <c r="K30">
        <f t="shared" si="4"/>
        <v>1</v>
      </c>
      <c r="L30" s="1">
        <v>120</v>
      </c>
      <c r="M30">
        <f t="shared" si="5"/>
        <v>1</v>
      </c>
      <c r="N30">
        <v>50</v>
      </c>
      <c r="O30">
        <f t="shared" si="6"/>
        <v>3.125</v>
      </c>
      <c r="P30">
        <v>4000</v>
      </c>
      <c r="Q30" s="1">
        <f t="shared" si="7"/>
        <v>1.47275405007364</v>
      </c>
      <c r="R30" s="1">
        <v>25</v>
      </c>
      <c r="S30">
        <f t="shared" si="8"/>
        <v>0.833333333333333</v>
      </c>
    </row>
    <row r="31" spans="10:17">
      <c r="J31" s="3"/>
      <c r="Q31" s="1"/>
    </row>
    <row r="36" spans="2:2">
      <c r="B3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F5" sqref="F5"/>
    </sheetView>
  </sheetViews>
  <sheetFormatPr defaultColWidth="9" defaultRowHeight="14.4"/>
  <cols>
    <col min="1" max="1" width="14.5" customWidth="1"/>
    <col min="2" max="2" width="25" customWidth="1"/>
    <col min="3" max="3" width="45.1296296296296" customWidth="1"/>
    <col min="4" max="4" width="24.8796296296296" customWidth="1"/>
    <col min="5" max="9" width="31.1296296296296" customWidth="1"/>
    <col min="10" max="10" width="18.5" customWidth="1"/>
    <col min="11" max="11" width="40.5" customWidth="1"/>
  </cols>
  <sheetData>
    <row r="1" spans="1:11">
      <c r="A1" t="s">
        <v>0</v>
      </c>
      <c r="B1" t="s">
        <v>1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s="2" t="s">
        <v>8</v>
      </c>
    </row>
    <row r="2" spans="1:8">
      <c r="A2" t="s">
        <v>118</v>
      </c>
      <c r="B2" s="1" t="s">
        <v>11</v>
      </c>
      <c r="C2">
        <v>5288</v>
      </c>
      <c r="D2">
        <v>100</v>
      </c>
      <c r="E2">
        <f>C2-D2</f>
        <v>5188</v>
      </c>
      <c r="F2">
        <f>E2/1000</f>
        <v>5.188</v>
      </c>
      <c r="G2">
        <v>131</v>
      </c>
      <c r="H2">
        <f>G2/100</f>
        <v>1.31</v>
      </c>
    </row>
    <row r="3" spans="2:10">
      <c r="B3" t="s">
        <v>13</v>
      </c>
      <c r="C3">
        <v>8388</v>
      </c>
      <c r="D3">
        <v>850</v>
      </c>
      <c r="E3">
        <f t="shared" ref="E3:E30" si="0">C3-D3</f>
        <v>7538</v>
      </c>
      <c r="F3">
        <f t="shared" ref="F3:F30" si="1">E3/1000</f>
        <v>7.538</v>
      </c>
      <c r="G3">
        <v>93</v>
      </c>
      <c r="H3">
        <f t="shared" ref="H3:H30" si="2">G3/100</f>
        <v>0.93</v>
      </c>
      <c r="I3" t="s">
        <v>119</v>
      </c>
      <c r="J3" t="s">
        <v>120</v>
      </c>
    </row>
    <row r="4" spans="2:8">
      <c r="B4" s="1" t="s">
        <v>15</v>
      </c>
      <c r="C4">
        <v>5999</v>
      </c>
      <c r="D4">
        <v>3600</v>
      </c>
      <c r="E4">
        <f t="shared" si="0"/>
        <v>2399</v>
      </c>
      <c r="F4">
        <f t="shared" si="1"/>
        <v>2.399</v>
      </c>
      <c r="G4">
        <v>47</v>
      </c>
      <c r="H4">
        <f t="shared" si="2"/>
        <v>0.47</v>
      </c>
    </row>
    <row r="5" spans="2:8">
      <c r="B5" s="1" t="s">
        <v>17</v>
      </c>
      <c r="C5">
        <v>7999</v>
      </c>
      <c r="D5">
        <v>4800</v>
      </c>
      <c r="E5">
        <f t="shared" si="0"/>
        <v>3199</v>
      </c>
      <c r="F5">
        <f t="shared" si="1"/>
        <v>3.199</v>
      </c>
      <c r="G5">
        <v>47</v>
      </c>
      <c r="H5">
        <f t="shared" si="2"/>
        <v>0.47</v>
      </c>
    </row>
    <row r="6" spans="2:8">
      <c r="B6" s="1" t="s">
        <v>18</v>
      </c>
      <c r="C6">
        <v>3499</v>
      </c>
      <c r="D6">
        <v>1700</v>
      </c>
      <c r="E6">
        <f t="shared" si="0"/>
        <v>1799</v>
      </c>
      <c r="F6">
        <f t="shared" si="1"/>
        <v>1.799</v>
      </c>
      <c r="G6">
        <v>41</v>
      </c>
      <c r="H6">
        <f t="shared" si="2"/>
        <v>0.41</v>
      </c>
    </row>
    <row r="7" spans="1:8">
      <c r="A7" s="1" t="s">
        <v>121</v>
      </c>
      <c r="B7" s="1" t="s">
        <v>20</v>
      </c>
      <c r="C7">
        <v>2499</v>
      </c>
      <c r="D7">
        <v>200</v>
      </c>
      <c r="E7">
        <f t="shared" si="0"/>
        <v>2299</v>
      </c>
      <c r="F7">
        <f t="shared" si="1"/>
        <v>2.299</v>
      </c>
      <c r="G7">
        <v>100</v>
      </c>
      <c r="H7">
        <f t="shared" si="2"/>
        <v>1</v>
      </c>
    </row>
    <row r="8" spans="2:8">
      <c r="B8" s="1" t="s">
        <v>22</v>
      </c>
      <c r="C8">
        <v>2699</v>
      </c>
      <c r="D8">
        <v>400</v>
      </c>
      <c r="E8">
        <f t="shared" si="0"/>
        <v>2299</v>
      </c>
      <c r="F8">
        <f t="shared" si="1"/>
        <v>2.299</v>
      </c>
      <c r="G8">
        <v>87</v>
      </c>
      <c r="H8">
        <f t="shared" si="2"/>
        <v>0.87</v>
      </c>
    </row>
    <row r="9" spans="2:8">
      <c r="B9" s="1" t="s">
        <v>24</v>
      </c>
      <c r="C9">
        <v>3999</v>
      </c>
      <c r="D9">
        <v>1400</v>
      </c>
      <c r="E9">
        <f t="shared" si="0"/>
        <v>2599</v>
      </c>
      <c r="F9">
        <f t="shared" si="1"/>
        <v>2.599</v>
      </c>
      <c r="G9">
        <v>32</v>
      </c>
      <c r="H9">
        <f t="shared" si="2"/>
        <v>0.32</v>
      </c>
    </row>
    <row r="10" spans="2:8">
      <c r="B10" s="1" t="s">
        <v>26</v>
      </c>
      <c r="C10">
        <v>2499</v>
      </c>
      <c r="D10">
        <v>500</v>
      </c>
      <c r="E10">
        <f t="shared" si="0"/>
        <v>1999</v>
      </c>
      <c r="F10">
        <f t="shared" si="1"/>
        <v>1.999</v>
      </c>
      <c r="G10">
        <v>75</v>
      </c>
      <c r="H10">
        <f t="shared" si="2"/>
        <v>0.75</v>
      </c>
    </row>
    <row r="11" spans="2:8">
      <c r="B11" s="1" t="s">
        <v>28</v>
      </c>
      <c r="C11">
        <v>2399</v>
      </c>
      <c r="D11">
        <v>400</v>
      </c>
      <c r="E11">
        <f t="shared" si="0"/>
        <v>1999</v>
      </c>
      <c r="F11">
        <f t="shared" si="1"/>
        <v>1.999</v>
      </c>
      <c r="G11">
        <v>41</v>
      </c>
      <c r="H11">
        <f t="shared" si="2"/>
        <v>0.41</v>
      </c>
    </row>
    <row r="12" spans="2:8">
      <c r="B12" s="1" t="s">
        <v>30</v>
      </c>
      <c r="C12">
        <v>1599</v>
      </c>
      <c r="D12">
        <v>500</v>
      </c>
      <c r="E12">
        <f t="shared" si="0"/>
        <v>1099</v>
      </c>
      <c r="F12">
        <f t="shared" si="1"/>
        <v>1.099</v>
      </c>
      <c r="G12">
        <v>20</v>
      </c>
      <c r="H12">
        <f t="shared" si="2"/>
        <v>0.2</v>
      </c>
    </row>
    <row r="13" spans="1:8">
      <c r="A13" t="s">
        <v>122</v>
      </c>
      <c r="B13" s="1" t="s">
        <v>33</v>
      </c>
      <c r="C13">
        <v>7988</v>
      </c>
      <c r="D13">
        <v>3600</v>
      </c>
      <c r="E13">
        <f t="shared" si="0"/>
        <v>4388</v>
      </c>
      <c r="F13">
        <f t="shared" si="1"/>
        <v>4.388</v>
      </c>
      <c r="G13">
        <v>64</v>
      </c>
      <c r="H13">
        <f t="shared" si="2"/>
        <v>0.64</v>
      </c>
    </row>
    <row r="14" spans="2:8">
      <c r="B14" s="1" t="s">
        <v>35</v>
      </c>
      <c r="C14">
        <v>4999</v>
      </c>
      <c r="D14">
        <v>1000</v>
      </c>
      <c r="E14">
        <f t="shared" si="0"/>
        <v>3999</v>
      </c>
      <c r="F14">
        <f t="shared" si="1"/>
        <v>3.999</v>
      </c>
      <c r="G14">
        <v>69</v>
      </c>
      <c r="H14">
        <f t="shared" si="2"/>
        <v>0.69</v>
      </c>
    </row>
    <row r="15" spans="2:8">
      <c r="B15" s="1" t="s">
        <v>36</v>
      </c>
      <c r="C15">
        <v>4899</v>
      </c>
      <c r="D15">
        <v>300</v>
      </c>
      <c r="E15">
        <f t="shared" si="0"/>
        <v>4599</v>
      </c>
      <c r="F15">
        <f t="shared" si="1"/>
        <v>4.599</v>
      </c>
      <c r="G15">
        <v>94</v>
      </c>
      <c r="H15">
        <f t="shared" si="2"/>
        <v>0.94</v>
      </c>
    </row>
    <row r="16" spans="2:8">
      <c r="B16" s="1" t="s">
        <v>38</v>
      </c>
      <c r="C16">
        <v>3788</v>
      </c>
      <c r="D16">
        <v>180</v>
      </c>
      <c r="E16">
        <f t="shared" si="0"/>
        <v>3608</v>
      </c>
      <c r="F16">
        <f t="shared" si="1"/>
        <v>3.608</v>
      </c>
      <c r="G16">
        <v>101</v>
      </c>
      <c r="H16">
        <f t="shared" si="2"/>
        <v>1.01</v>
      </c>
    </row>
    <row r="17" spans="2:8">
      <c r="B17" s="1" t="s">
        <v>40</v>
      </c>
      <c r="C17">
        <v>2499</v>
      </c>
      <c r="D17">
        <v>700</v>
      </c>
      <c r="E17">
        <f t="shared" si="0"/>
        <v>1799</v>
      </c>
      <c r="F17">
        <f t="shared" si="1"/>
        <v>1.799</v>
      </c>
      <c r="G17">
        <v>22</v>
      </c>
      <c r="H17">
        <f t="shared" si="2"/>
        <v>0.22</v>
      </c>
    </row>
    <row r="18" spans="2:8">
      <c r="B18" s="1" t="s">
        <v>42</v>
      </c>
      <c r="C18">
        <v>1199</v>
      </c>
      <c r="D18">
        <v>1050</v>
      </c>
      <c r="E18">
        <f t="shared" si="0"/>
        <v>149</v>
      </c>
      <c r="F18">
        <f t="shared" si="1"/>
        <v>0.149</v>
      </c>
      <c r="G18">
        <v>4</v>
      </c>
      <c r="H18">
        <f t="shared" si="2"/>
        <v>0.04</v>
      </c>
    </row>
    <row r="19" spans="1:8">
      <c r="A19" t="s">
        <v>103</v>
      </c>
      <c r="B19" s="1" t="s">
        <v>45</v>
      </c>
      <c r="C19">
        <v>2998</v>
      </c>
      <c r="D19">
        <v>200</v>
      </c>
      <c r="E19">
        <f t="shared" si="0"/>
        <v>2798</v>
      </c>
      <c r="F19">
        <f t="shared" si="1"/>
        <v>2.798</v>
      </c>
      <c r="G19">
        <v>128</v>
      </c>
      <c r="H19">
        <f t="shared" si="2"/>
        <v>1.28</v>
      </c>
    </row>
    <row r="20" spans="1:8">
      <c r="A20" s="1"/>
      <c r="B20" s="1" t="s">
        <v>47</v>
      </c>
      <c r="C20">
        <v>4299</v>
      </c>
      <c r="D20">
        <v>500</v>
      </c>
      <c r="E20">
        <f t="shared" si="0"/>
        <v>3799</v>
      </c>
      <c r="F20">
        <f t="shared" si="1"/>
        <v>3.799</v>
      </c>
      <c r="G20">
        <v>105</v>
      </c>
      <c r="H20">
        <f t="shared" si="2"/>
        <v>1.05</v>
      </c>
    </row>
    <row r="21" spans="2:8">
      <c r="B21" t="s">
        <v>49</v>
      </c>
      <c r="C21">
        <v>4298</v>
      </c>
      <c r="D21">
        <v>800</v>
      </c>
      <c r="E21">
        <f t="shared" si="0"/>
        <v>3498</v>
      </c>
      <c r="F21">
        <f t="shared" si="1"/>
        <v>3.498</v>
      </c>
      <c r="G21">
        <v>62</v>
      </c>
      <c r="H21">
        <f t="shared" si="2"/>
        <v>0.62</v>
      </c>
    </row>
    <row r="22" spans="2:8">
      <c r="B22" t="s">
        <v>51</v>
      </c>
      <c r="C22">
        <v>6499</v>
      </c>
      <c r="D22">
        <v>1900</v>
      </c>
      <c r="E22">
        <f t="shared" si="0"/>
        <v>4599</v>
      </c>
      <c r="F22">
        <f t="shared" si="1"/>
        <v>4.599</v>
      </c>
      <c r="G22">
        <v>33</v>
      </c>
      <c r="H22">
        <f t="shared" si="2"/>
        <v>0.33</v>
      </c>
    </row>
    <row r="23" spans="2:8">
      <c r="B23" s="1" t="s">
        <v>123</v>
      </c>
      <c r="C23">
        <v>4098</v>
      </c>
      <c r="D23">
        <v>600</v>
      </c>
      <c r="E23">
        <f t="shared" si="0"/>
        <v>3498</v>
      </c>
      <c r="F23">
        <f t="shared" si="1"/>
        <v>3.498</v>
      </c>
      <c r="G23">
        <v>72</v>
      </c>
      <c r="H23">
        <f t="shared" si="2"/>
        <v>0.72</v>
      </c>
    </row>
    <row r="24" spans="1:8">
      <c r="A24" t="s">
        <v>55</v>
      </c>
      <c r="B24" t="s">
        <v>56</v>
      </c>
      <c r="C24">
        <v>3999</v>
      </c>
      <c r="D24">
        <v>300</v>
      </c>
      <c r="E24">
        <f t="shared" si="0"/>
        <v>3699</v>
      </c>
      <c r="F24">
        <f t="shared" si="1"/>
        <v>3.699</v>
      </c>
      <c r="G24">
        <v>96</v>
      </c>
      <c r="H24">
        <f t="shared" si="2"/>
        <v>0.96</v>
      </c>
    </row>
    <row r="25" spans="2:8">
      <c r="B25" s="1" t="s">
        <v>57</v>
      </c>
      <c r="C25">
        <v>7400</v>
      </c>
      <c r="D25">
        <v>1500</v>
      </c>
      <c r="E25">
        <f t="shared" si="0"/>
        <v>5900</v>
      </c>
      <c r="F25">
        <f t="shared" si="1"/>
        <v>5.9</v>
      </c>
      <c r="G25">
        <v>59</v>
      </c>
      <c r="H25">
        <f t="shared" si="2"/>
        <v>0.59</v>
      </c>
    </row>
    <row r="26" spans="2:8">
      <c r="B26" s="1" t="s">
        <v>58</v>
      </c>
      <c r="C26">
        <v>7350</v>
      </c>
      <c r="D26">
        <v>4200</v>
      </c>
      <c r="E26">
        <f t="shared" si="0"/>
        <v>3150</v>
      </c>
      <c r="F26">
        <f t="shared" si="1"/>
        <v>3.15</v>
      </c>
      <c r="G26">
        <v>27</v>
      </c>
      <c r="H26">
        <f t="shared" si="2"/>
        <v>0.27</v>
      </c>
    </row>
    <row r="27" spans="1:8">
      <c r="A27" t="s">
        <v>59</v>
      </c>
      <c r="B27" t="s">
        <v>60</v>
      </c>
      <c r="C27">
        <v>5940</v>
      </c>
      <c r="D27">
        <v>1000</v>
      </c>
      <c r="E27">
        <f t="shared" si="0"/>
        <v>4940</v>
      </c>
      <c r="F27">
        <f t="shared" si="1"/>
        <v>4.94</v>
      </c>
      <c r="G27">
        <v>95</v>
      </c>
      <c r="H27">
        <f t="shared" si="2"/>
        <v>0.95</v>
      </c>
    </row>
    <row r="28" spans="2:8">
      <c r="B28" s="1" t="s">
        <v>61</v>
      </c>
      <c r="C28">
        <v>6700</v>
      </c>
      <c r="D28">
        <v>1290</v>
      </c>
      <c r="E28">
        <f t="shared" si="0"/>
        <v>5410</v>
      </c>
      <c r="F28">
        <f t="shared" si="1"/>
        <v>5.41</v>
      </c>
      <c r="G28">
        <v>78</v>
      </c>
      <c r="H28">
        <f t="shared" si="2"/>
        <v>0.78</v>
      </c>
    </row>
    <row r="29" spans="2:8">
      <c r="B29" s="1" t="s">
        <v>62</v>
      </c>
      <c r="C29">
        <v>9800</v>
      </c>
      <c r="D29">
        <v>1750</v>
      </c>
      <c r="E29">
        <f t="shared" si="0"/>
        <v>8050</v>
      </c>
      <c r="F29">
        <f t="shared" si="1"/>
        <v>8.05</v>
      </c>
      <c r="G29">
        <v>66</v>
      </c>
      <c r="H29">
        <f t="shared" si="2"/>
        <v>0.66</v>
      </c>
    </row>
    <row r="30" spans="2:8">
      <c r="B30" t="s">
        <v>63</v>
      </c>
      <c r="C30">
        <v>5499</v>
      </c>
      <c r="D30">
        <v>3600</v>
      </c>
      <c r="E30">
        <f t="shared" si="0"/>
        <v>1899</v>
      </c>
      <c r="F30">
        <f t="shared" si="1"/>
        <v>1.899</v>
      </c>
      <c r="G30">
        <v>19</v>
      </c>
      <c r="H30">
        <f t="shared" si="2"/>
        <v>0.19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69"/>
  <sheetViews>
    <sheetView topLeftCell="A61" workbookViewId="0">
      <selection activeCell="J76" sqref="J76"/>
    </sheetView>
  </sheetViews>
  <sheetFormatPr defaultColWidth="9" defaultRowHeight="14.4"/>
  <sheetData>
    <row r="5" spans="1:11">
      <c r="A5" t="s">
        <v>65</v>
      </c>
      <c r="B5" t="s">
        <v>1</v>
      </c>
      <c r="C5" t="s">
        <v>66</v>
      </c>
      <c r="D5" t="s">
        <v>68</v>
      </c>
      <c r="E5" t="s">
        <v>70</v>
      </c>
      <c r="F5" t="s">
        <v>72</v>
      </c>
      <c r="G5" t="s">
        <v>75</v>
      </c>
      <c r="H5" t="s">
        <v>77</v>
      </c>
      <c r="I5" t="s">
        <v>79</v>
      </c>
      <c r="J5" t="s">
        <v>124</v>
      </c>
      <c r="K5" t="s">
        <v>81</v>
      </c>
    </row>
    <row r="6" spans="1:10">
      <c r="A6" t="s">
        <v>10</v>
      </c>
      <c r="B6" s="1" t="s">
        <v>11</v>
      </c>
      <c r="C6" t="s">
        <v>125</v>
      </c>
      <c r="D6" t="s">
        <v>126</v>
      </c>
      <c r="E6" t="s">
        <v>127</v>
      </c>
      <c r="F6" t="s">
        <v>128</v>
      </c>
      <c r="G6" t="s">
        <v>129</v>
      </c>
      <c r="H6" t="s">
        <v>130</v>
      </c>
      <c r="I6">
        <v>1810</v>
      </c>
      <c r="J6" t="s">
        <v>131</v>
      </c>
    </row>
    <row r="7" spans="1:10">
      <c r="A7" t="s">
        <v>19</v>
      </c>
      <c r="B7" s="1" t="s">
        <v>24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>
        <v>4500</v>
      </c>
      <c r="J7" t="s">
        <v>138</v>
      </c>
    </row>
    <row r="8" spans="1:10">
      <c r="A8" t="s">
        <v>32</v>
      </c>
      <c r="B8" s="1" t="s">
        <v>33</v>
      </c>
      <c r="C8" t="s">
        <v>139</v>
      </c>
      <c r="D8" t="s">
        <v>133</v>
      </c>
      <c r="E8" t="s">
        <v>140</v>
      </c>
      <c r="F8" t="s">
        <v>141</v>
      </c>
      <c r="G8" t="s">
        <v>142</v>
      </c>
      <c r="H8" t="s">
        <v>143</v>
      </c>
      <c r="I8">
        <v>4200</v>
      </c>
      <c r="J8" t="s">
        <v>144</v>
      </c>
    </row>
    <row r="9" spans="1:10">
      <c r="A9" t="s">
        <v>44</v>
      </c>
      <c r="B9" t="s">
        <v>49</v>
      </c>
      <c r="C9" t="s">
        <v>132</v>
      </c>
      <c r="D9" t="s">
        <v>133</v>
      </c>
      <c r="E9" t="s">
        <v>145</v>
      </c>
      <c r="F9" t="s">
        <v>146</v>
      </c>
      <c r="G9" t="s">
        <v>147</v>
      </c>
      <c r="H9" t="s">
        <v>137</v>
      </c>
      <c r="I9">
        <v>4315</v>
      </c>
      <c r="J9" t="s">
        <v>138</v>
      </c>
    </row>
    <row r="10" spans="1:10">
      <c r="A10" t="s">
        <v>55</v>
      </c>
      <c r="B10" s="1" t="s">
        <v>58</v>
      </c>
      <c r="C10" t="s">
        <v>139</v>
      </c>
      <c r="D10" t="s">
        <v>148</v>
      </c>
      <c r="E10" t="s">
        <v>149</v>
      </c>
      <c r="F10" t="s">
        <v>150</v>
      </c>
      <c r="G10" t="s">
        <v>147</v>
      </c>
      <c r="H10" t="s">
        <v>151</v>
      </c>
      <c r="I10">
        <v>5000</v>
      </c>
      <c r="J10" t="s">
        <v>152</v>
      </c>
    </row>
    <row r="11" spans="1:10">
      <c r="A11" t="s">
        <v>59</v>
      </c>
      <c r="B11" t="s">
        <v>63</v>
      </c>
      <c r="C11" t="s">
        <v>132</v>
      </c>
      <c r="D11" t="s">
        <v>133</v>
      </c>
      <c r="E11" t="s">
        <v>153</v>
      </c>
      <c r="F11" t="s">
        <v>154</v>
      </c>
      <c r="G11" t="s">
        <v>155</v>
      </c>
      <c r="H11" t="s">
        <v>137</v>
      </c>
      <c r="I11">
        <v>4000</v>
      </c>
      <c r="J11" t="s">
        <v>156</v>
      </c>
    </row>
    <row r="23" spans="4:6">
      <c r="D23" t="s">
        <v>157</v>
      </c>
      <c r="E23" t="s">
        <v>158</v>
      </c>
      <c r="F23" t="s">
        <v>159</v>
      </c>
    </row>
    <row r="24" spans="4:6">
      <c r="D24" t="s">
        <v>160</v>
      </c>
      <c r="E24" t="s">
        <v>161</v>
      </c>
      <c r="F24" t="s">
        <v>159</v>
      </c>
    </row>
    <row r="28" spans="4:6">
      <c r="D28" t="s">
        <v>162</v>
      </c>
      <c r="E28" t="s">
        <v>163</v>
      </c>
      <c r="F28" t="s">
        <v>138</v>
      </c>
    </row>
    <row r="29" spans="4:6">
      <c r="D29" t="s">
        <v>164</v>
      </c>
      <c r="E29" t="s">
        <v>165</v>
      </c>
      <c r="F29" t="s">
        <v>166</v>
      </c>
    </row>
    <row r="30" spans="4:5">
      <c r="D30" t="s">
        <v>167</v>
      </c>
      <c r="E30" t="s">
        <v>168</v>
      </c>
    </row>
    <row r="35" spans="3:13">
      <c r="C35" t="s">
        <v>65</v>
      </c>
      <c r="D35" t="s">
        <v>1</v>
      </c>
      <c r="E35" t="s">
        <v>66</v>
      </c>
      <c r="F35" t="s">
        <v>68</v>
      </c>
      <c r="G35" t="s">
        <v>70</v>
      </c>
      <c r="H35" t="s">
        <v>72</v>
      </c>
      <c r="I35" t="s">
        <v>75</v>
      </c>
      <c r="J35" t="s">
        <v>77</v>
      </c>
      <c r="K35" t="s">
        <v>79</v>
      </c>
      <c r="L35" t="s">
        <v>124</v>
      </c>
      <c r="M35" t="s">
        <v>81</v>
      </c>
    </row>
    <row r="36" spans="3:12">
      <c r="C36" t="s">
        <v>10</v>
      </c>
      <c r="D36" t="s">
        <v>11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>
        <v>1810</v>
      </c>
      <c r="L36" t="s">
        <v>169</v>
      </c>
    </row>
    <row r="37" spans="3:12">
      <c r="C37" t="s">
        <v>10</v>
      </c>
      <c r="D37" t="s">
        <v>13</v>
      </c>
      <c r="E37" t="s">
        <v>170</v>
      </c>
      <c r="F37" t="s">
        <v>171</v>
      </c>
      <c r="G37" t="s">
        <v>172</v>
      </c>
      <c r="H37" t="s">
        <v>173</v>
      </c>
      <c r="I37" t="s">
        <v>129</v>
      </c>
      <c r="J37" t="s">
        <v>174</v>
      </c>
      <c r="K37">
        <v>2716</v>
      </c>
      <c r="L37" t="s">
        <v>175</v>
      </c>
    </row>
    <row r="38" spans="3:12">
      <c r="C38" t="s">
        <v>10</v>
      </c>
      <c r="D38" t="s">
        <v>15</v>
      </c>
      <c r="E38" t="s">
        <v>132</v>
      </c>
      <c r="F38" t="s">
        <v>176</v>
      </c>
      <c r="G38" t="s">
        <v>177</v>
      </c>
      <c r="H38" t="s">
        <v>178</v>
      </c>
      <c r="I38" t="s">
        <v>129</v>
      </c>
      <c r="J38" t="s">
        <v>179</v>
      </c>
      <c r="K38" t="s">
        <v>138</v>
      </c>
      <c r="L38" t="s">
        <v>180</v>
      </c>
    </row>
    <row r="39" spans="3:12">
      <c r="C39" t="s">
        <v>10</v>
      </c>
      <c r="D39" t="s">
        <v>17</v>
      </c>
      <c r="E39" t="s">
        <v>132</v>
      </c>
      <c r="F39" t="s">
        <v>181</v>
      </c>
      <c r="G39" t="s">
        <v>177</v>
      </c>
      <c r="H39" t="s">
        <v>178</v>
      </c>
      <c r="I39" t="s">
        <v>155</v>
      </c>
      <c r="J39" t="s">
        <v>174</v>
      </c>
      <c r="K39">
        <v>3095</v>
      </c>
      <c r="L39" t="s">
        <v>182</v>
      </c>
    </row>
    <row r="40" spans="3:12">
      <c r="C40" t="s">
        <v>10</v>
      </c>
      <c r="D40" t="s">
        <v>18</v>
      </c>
      <c r="E40" t="s">
        <v>170</v>
      </c>
      <c r="F40" t="s">
        <v>183</v>
      </c>
      <c r="G40" t="s">
        <v>127</v>
      </c>
      <c r="H40" t="s">
        <v>184</v>
      </c>
      <c r="I40" t="s">
        <v>129</v>
      </c>
      <c r="J40" t="s">
        <v>185</v>
      </c>
      <c r="K40">
        <v>2018</v>
      </c>
      <c r="L40" t="s">
        <v>186</v>
      </c>
    </row>
    <row r="42" spans="3:12">
      <c r="C42" t="s">
        <v>19</v>
      </c>
      <c r="D42" t="s">
        <v>20</v>
      </c>
      <c r="E42" t="s">
        <v>132</v>
      </c>
      <c r="F42" t="s">
        <v>181</v>
      </c>
      <c r="G42" t="s">
        <v>187</v>
      </c>
      <c r="H42" t="s">
        <v>188</v>
      </c>
      <c r="I42" t="s">
        <v>129</v>
      </c>
      <c r="J42" t="s">
        <v>174</v>
      </c>
      <c r="K42">
        <v>3350</v>
      </c>
      <c r="L42" t="s">
        <v>189</v>
      </c>
    </row>
    <row r="43" spans="3:12">
      <c r="C43" t="s">
        <v>19</v>
      </c>
      <c r="D43" t="s">
        <v>22</v>
      </c>
      <c r="E43" t="s">
        <v>170</v>
      </c>
      <c r="F43" t="s">
        <v>181</v>
      </c>
      <c r="G43" t="s">
        <v>190</v>
      </c>
      <c r="H43" t="s">
        <v>191</v>
      </c>
      <c r="I43" t="s">
        <v>129</v>
      </c>
      <c r="J43" t="s">
        <v>174</v>
      </c>
      <c r="K43" t="s">
        <v>192</v>
      </c>
      <c r="L43" t="s">
        <v>193</v>
      </c>
    </row>
    <row r="44" spans="3:12">
      <c r="C44" t="s">
        <v>19</v>
      </c>
      <c r="D44" t="s">
        <v>24</v>
      </c>
      <c r="E44" t="s">
        <v>132</v>
      </c>
      <c r="F44" t="s">
        <v>133</v>
      </c>
      <c r="G44" t="s">
        <v>134</v>
      </c>
      <c r="H44" t="s">
        <v>194</v>
      </c>
      <c r="I44" t="s">
        <v>147</v>
      </c>
      <c r="J44" t="s">
        <v>137</v>
      </c>
      <c r="K44">
        <v>4500</v>
      </c>
      <c r="L44" t="s">
        <v>195</v>
      </c>
    </row>
    <row r="45" spans="3:12">
      <c r="C45" t="s">
        <v>19</v>
      </c>
      <c r="D45" t="s">
        <v>26</v>
      </c>
      <c r="E45" t="s">
        <v>138</v>
      </c>
      <c r="F45" t="s">
        <v>138</v>
      </c>
      <c r="G45" t="s">
        <v>138</v>
      </c>
      <c r="H45" t="s">
        <v>138</v>
      </c>
      <c r="I45" t="s">
        <v>138</v>
      </c>
      <c r="J45" t="s">
        <v>138</v>
      </c>
      <c r="K45" t="s">
        <v>138</v>
      </c>
      <c r="L45" t="s">
        <v>138</v>
      </c>
    </row>
    <row r="46" spans="3:12">
      <c r="C46" t="s">
        <v>19</v>
      </c>
      <c r="D46" t="s">
        <v>28</v>
      </c>
      <c r="E46" t="s">
        <v>138</v>
      </c>
      <c r="F46" t="s">
        <v>138</v>
      </c>
      <c r="G46" t="s">
        <v>138</v>
      </c>
      <c r="H46" t="s">
        <v>138</v>
      </c>
      <c r="I46" t="s">
        <v>138</v>
      </c>
      <c r="J46" t="s">
        <v>138</v>
      </c>
      <c r="K46" t="s">
        <v>138</v>
      </c>
      <c r="L46" t="s">
        <v>138</v>
      </c>
    </row>
    <row r="47" spans="3:11">
      <c r="C47" t="s">
        <v>19</v>
      </c>
      <c r="D47" t="s">
        <v>30</v>
      </c>
      <c r="E47" t="s">
        <v>132</v>
      </c>
      <c r="F47" t="s">
        <v>181</v>
      </c>
      <c r="G47" t="s">
        <v>138</v>
      </c>
      <c r="H47" t="s">
        <v>138</v>
      </c>
      <c r="I47" t="s">
        <v>138</v>
      </c>
      <c r="J47" t="s">
        <v>138</v>
      </c>
      <c r="K47" t="s">
        <v>196</v>
      </c>
    </row>
    <row r="49" spans="3:13">
      <c r="C49" t="s">
        <v>32</v>
      </c>
      <c r="D49" t="s">
        <v>33</v>
      </c>
      <c r="E49" t="s">
        <v>138</v>
      </c>
      <c r="F49" t="s">
        <v>133</v>
      </c>
      <c r="G49" t="s">
        <v>140</v>
      </c>
      <c r="H49" t="s">
        <v>141</v>
      </c>
      <c r="I49" t="s">
        <v>142</v>
      </c>
      <c r="J49" t="s">
        <v>137</v>
      </c>
      <c r="K49">
        <v>4200</v>
      </c>
      <c r="L49" t="s">
        <v>197</v>
      </c>
      <c r="M49" t="s">
        <v>138</v>
      </c>
    </row>
    <row r="50" spans="3:12">
      <c r="C50" t="s">
        <v>32</v>
      </c>
      <c r="D50" t="s">
        <v>35</v>
      </c>
      <c r="E50" t="s">
        <v>138</v>
      </c>
      <c r="F50" t="s">
        <v>133</v>
      </c>
      <c r="G50" t="s">
        <v>138</v>
      </c>
      <c r="H50" t="s">
        <v>138</v>
      </c>
      <c r="I50" t="s">
        <v>138</v>
      </c>
      <c r="J50" t="s">
        <v>138</v>
      </c>
      <c r="K50" t="s">
        <v>138</v>
      </c>
      <c r="L50" t="s">
        <v>138</v>
      </c>
    </row>
    <row r="51" spans="3:12">
      <c r="C51" t="s">
        <v>32</v>
      </c>
      <c r="D51" t="s">
        <v>36</v>
      </c>
      <c r="E51" t="s">
        <v>170</v>
      </c>
      <c r="F51" t="s">
        <v>181</v>
      </c>
      <c r="G51" t="s">
        <v>198</v>
      </c>
      <c r="H51" t="s">
        <v>199</v>
      </c>
      <c r="I51" t="s">
        <v>129</v>
      </c>
      <c r="J51" t="s">
        <v>200</v>
      </c>
      <c r="K51">
        <v>4000</v>
      </c>
      <c r="L51" t="s">
        <v>138</v>
      </c>
    </row>
    <row r="52" spans="3:12">
      <c r="C52" t="s">
        <v>32</v>
      </c>
      <c r="D52" t="s">
        <v>38</v>
      </c>
      <c r="E52" t="s">
        <v>201</v>
      </c>
      <c r="F52" t="s">
        <v>183</v>
      </c>
      <c r="G52" t="s">
        <v>202</v>
      </c>
      <c r="H52" t="s">
        <v>188</v>
      </c>
      <c r="I52" t="s">
        <v>129</v>
      </c>
      <c r="J52" t="s">
        <v>174</v>
      </c>
      <c r="K52">
        <v>3200</v>
      </c>
      <c r="L52" t="s">
        <v>138</v>
      </c>
    </row>
    <row r="53" spans="3:12">
      <c r="C53" t="s">
        <v>32</v>
      </c>
      <c r="D53" t="s">
        <v>40</v>
      </c>
      <c r="E53" t="s">
        <v>138</v>
      </c>
      <c r="F53" t="s">
        <v>133</v>
      </c>
      <c r="G53" t="s">
        <v>203</v>
      </c>
      <c r="H53" t="s">
        <v>138</v>
      </c>
      <c r="I53" t="s">
        <v>138</v>
      </c>
      <c r="J53" t="s">
        <v>138</v>
      </c>
      <c r="K53" t="s">
        <v>138</v>
      </c>
      <c r="L53" t="s">
        <v>138</v>
      </c>
    </row>
    <row r="54" spans="3:12">
      <c r="C54" t="s">
        <v>32</v>
      </c>
      <c r="D54" t="s">
        <v>42</v>
      </c>
      <c r="E54" t="s">
        <v>138</v>
      </c>
      <c r="F54" t="s">
        <v>138</v>
      </c>
      <c r="G54" t="s">
        <v>138</v>
      </c>
      <c r="H54" t="s">
        <v>138</v>
      </c>
      <c r="I54" t="s">
        <v>138</v>
      </c>
      <c r="J54" t="s">
        <v>138</v>
      </c>
      <c r="K54" t="s">
        <v>138</v>
      </c>
      <c r="L54" t="s">
        <v>138</v>
      </c>
    </row>
    <row r="56" spans="3:12">
      <c r="C56" t="s">
        <v>44</v>
      </c>
      <c r="D56" t="s">
        <v>45</v>
      </c>
      <c r="E56" t="s">
        <v>138</v>
      </c>
      <c r="F56" t="s">
        <v>204</v>
      </c>
      <c r="G56" t="s">
        <v>205</v>
      </c>
      <c r="H56" t="s">
        <v>138</v>
      </c>
      <c r="I56" t="s">
        <v>138</v>
      </c>
      <c r="J56" t="s">
        <v>206</v>
      </c>
      <c r="K56" t="s">
        <v>207</v>
      </c>
      <c r="L56" t="s">
        <v>138</v>
      </c>
    </row>
    <row r="57" spans="3:12">
      <c r="C57" t="s">
        <v>44</v>
      </c>
      <c r="D57" t="s">
        <v>47</v>
      </c>
      <c r="E57" t="s">
        <v>138</v>
      </c>
      <c r="F57" t="s">
        <v>208</v>
      </c>
      <c r="G57" t="s">
        <v>209</v>
      </c>
      <c r="H57" t="s">
        <v>138</v>
      </c>
      <c r="I57" t="s">
        <v>138</v>
      </c>
      <c r="J57" t="s">
        <v>210</v>
      </c>
      <c r="K57" t="s">
        <v>211</v>
      </c>
      <c r="L57" t="s">
        <v>138</v>
      </c>
    </row>
    <row r="58" spans="3:12">
      <c r="C58" t="s">
        <v>44</v>
      </c>
      <c r="D58" t="s">
        <v>49</v>
      </c>
      <c r="E58" t="s">
        <v>132</v>
      </c>
      <c r="F58" t="s">
        <v>133</v>
      </c>
      <c r="G58" t="s">
        <v>145</v>
      </c>
      <c r="H58" t="s">
        <v>212</v>
      </c>
      <c r="I58" t="s">
        <v>147</v>
      </c>
      <c r="J58" t="s">
        <v>137</v>
      </c>
      <c r="K58">
        <v>4315</v>
      </c>
      <c r="L58" t="s">
        <v>138</v>
      </c>
    </row>
    <row r="59" spans="3:12">
      <c r="C59" t="s">
        <v>44</v>
      </c>
      <c r="D59" t="s">
        <v>51</v>
      </c>
      <c r="E59" t="s">
        <v>132</v>
      </c>
      <c r="F59" t="s">
        <v>213</v>
      </c>
      <c r="G59" t="s">
        <v>214</v>
      </c>
      <c r="H59" t="s">
        <v>215</v>
      </c>
      <c r="I59" t="s">
        <v>216</v>
      </c>
      <c r="J59" t="s">
        <v>137</v>
      </c>
      <c r="K59" t="s">
        <v>217</v>
      </c>
      <c r="L59" t="s">
        <v>138</v>
      </c>
    </row>
    <row r="60" spans="3:12">
      <c r="C60" t="s">
        <v>44</v>
      </c>
      <c r="D60" t="s">
        <v>53</v>
      </c>
      <c r="E60" t="s">
        <v>138</v>
      </c>
      <c r="F60" t="s">
        <v>218</v>
      </c>
      <c r="G60" t="s">
        <v>138</v>
      </c>
      <c r="H60" t="s">
        <v>138</v>
      </c>
      <c r="I60" t="s">
        <v>138</v>
      </c>
      <c r="J60" t="s">
        <v>138</v>
      </c>
      <c r="K60" t="s">
        <v>138</v>
      </c>
      <c r="L60" t="s">
        <v>138</v>
      </c>
    </row>
    <row r="62" spans="3:12">
      <c r="C62" t="s">
        <v>55</v>
      </c>
      <c r="D62" t="s">
        <v>56</v>
      </c>
      <c r="E62" t="s">
        <v>201</v>
      </c>
      <c r="F62" t="s">
        <v>183</v>
      </c>
      <c r="G62" t="s">
        <v>219</v>
      </c>
      <c r="H62" t="s">
        <v>220</v>
      </c>
      <c r="I62" t="s">
        <v>129</v>
      </c>
      <c r="J62" t="s">
        <v>221</v>
      </c>
      <c r="K62" t="s">
        <v>222</v>
      </c>
      <c r="L62" t="s">
        <v>138</v>
      </c>
    </row>
    <row r="63" spans="3:12">
      <c r="C63" t="s">
        <v>55</v>
      </c>
      <c r="D63" t="s">
        <v>57</v>
      </c>
      <c r="E63" t="s">
        <v>132</v>
      </c>
      <c r="F63" t="s">
        <v>133</v>
      </c>
      <c r="G63" t="s">
        <v>177</v>
      </c>
      <c r="H63" t="s">
        <v>223</v>
      </c>
      <c r="I63" t="s">
        <v>147</v>
      </c>
      <c r="J63" t="s">
        <v>224</v>
      </c>
      <c r="K63">
        <v>4000</v>
      </c>
      <c r="L63" t="s">
        <v>225</v>
      </c>
    </row>
    <row r="64" spans="3:12">
      <c r="C64" t="s">
        <v>55</v>
      </c>
      <c r="D64" t="s">
        <v>58</v>
      </c>
      <c r="E64" t="s">
        <v>139</v>
      </c>
      <c r="F64" t="s">
        <v>148</v>
      </c>
      <c r="G64" t="s">
        <v>149</v>
      </c>
      <c r="H64" t="s">
        <v>150</v>
      </c>
      <c r="I64" t="s">
        <v>147</v>
      </c>
      <c r="J64" t="s">
        <v>151</v>
      </c>
      <c r="K64">
        <v>5000</v>
      </c>
      <c r="L64" t="s">
        <v>226</v>
      </c>
    </row>
    <row r="66" spans="3:12">
      <c r="C66" t="s">
        <v>59</v>
      </c>
      <c r="D66" t="s">
        <v>60</v>
      </c>
      <c r="E66" t="s">
        <v>170</v>
      </c>
      <c r="F66" t="s">
        <v>181</v>
      </c>
      <c r="G66" t="s">
        <v>227</v>
      </c>
      <c r="H66" t="s">
        <v>228</v>
      </c>
      <c r="I66" t="s">
        <v>129</v>
      </c>
      <c r="J66" t="s">
        <v>229</v>
      </c>
      <c r="K66">
        <v>3300</v>
      </c>
      <c r="L66" t="s">
        <v>230</v>
      </c>
    </row>
    <row r="67" spans="3:12">
      <c r="C67" t="s">
        <v>59</v>
      </c>
      <c r="D67" t="s">
        <v>61</v>
      </c>
      <c r="E67" t="s">
        <v>132</v>
      </c>
      <c r="F67" t="s">
        <v>133</v>
      </c>
      <c r="G67" t="s">
        <v>231</v>
      </c>
      <c r="H67" t="s">
        <v>232</v>
      </c>
      <c r="I67" t="s">
        <v>233</v>
      </c>
      <c r="J67" t="s">
        <v>224</v>
      </c>
      <c r="K67">
        <v>4100</v>
      </c>
      <c r="L67" t="s">
        <v>138</v>
      </c>
    </row>
    <row r="68" spans="3:12">
      <c r="C68" t="s">
        <v>59</v>
      </c>
      <c r="D68" t="s">
        <v>62</v>
      </c>
      <c r="E68" t="s">
        <v>132</v>
      </c>
      <c r="F68" t="s">
        <v>148</v>
      </c>
      <c r="G68" t="s">
        <v>234</v>
      </c>
      <c r="H68" t="s">
        <v>235</v>
      </c>
      <c r="I68" t="s">
        <v>236</v>
      </c>
      <c r="J68" t="s">
        <v>237</v>
      </c>
      <c r="K68">
        <v>5000</v>
      </c>
      <c r="L68" t="s">
        <v>238</v>
      </c>
    </row>
    <row r="69" spans="3:12">
      <c r="C69" t="s">
        <v>59</v>
      </c>
      <c r="D69" t="s">
        <v>63</v>
      </c>
      <c r="E69" t="s">
        <v>132</v>
      </c>
      <c r="F69" t="s">
        <v>133</v>
      </c>
      <c r="G69" t="s">
        <v>153</v>
      </c>
      <c r="H69" t="s">
        <v>154</v>
      </c>
      <c r="I69" t="s">
        <v>155</v>
      </c>
      <c r="J69" t="s">
        <v>137</v>
      </c>
      <c r="K69">
        <v>4000</v>
      </c>
      <c r="L69" t="s">
        <v>239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opLeftCell="A13" workbookViewId="0">
      <selection activeCell="F5" sqref="F5"/>
    </sheetView>
  </sheetViews>
  <sheetFormatPr defaultColWidth="8.88888888888889" defaultRowHeight="14.4"/>
  <sheetData>
    <row r="1" spans="1:1">
      <c r="A1" t="s">
        <v>240</v>
      </c>
    </row>
    <row r="2" spans="1:1">
      <c r="A2" s="1" t="s">
        <v>10</v>
      </c>
    </row>
    <row r="3" spans="1:1">
      <c r="A3" t="s">
        <v>10</v>
      </c>
    </row>
    <row r="4" spans="1:1">
      <c r="A4" t="s">
        <v>10</v>
      </c>
    </row>
    <row r="5" spans="1:1">
      <c r="A5" t="s">
        <v>10</v>
      </c>
    </row>
    <row r="6" spans="1:1">
      <c r="A6" t="s">
        <v>10</v>
      </c>
    </row>
    <row r="7" spans="1:1">
      <c r="A7" s="1" t="s">
        <v>19</v>
      </c>
    </row>
    <row r="8" spans="1:1">
      <c r="A8" t="s">
        <v>19</v>
      </c>
    </row>
    <row r="9" spans="1:1">
      <c r="A9" t="s">
        <v>19</v>
      </c>
    </row>
    <row r="10" spans="1:1">
      <c r="A10" t="s">
        <v>19</v>
      </c>
    </row>
    <row r="11" spans="1:1">
      <c r="A11" t="s">
        <v>19</v>
      </c>
    </row>
    <row r="12" spans="1:1">
      <c r="A12" t="s">
        <v>19</v>
      </c>
    </row>
    <row r="13" spans="1:1">
      <c r="A13" t="s">
        <v>32</v>
      </c>
    </row>
    <row r="14" spans="1:1">
      <c r="A14" t="s">
        <v>32</v>
      </c>
    </row>
    <row r="15" spans="1:1">
      <c r="A15" t="s">
        <v>32</v>
      </c>
    </row>
    <row r="16" spans="1:1">
      <c r="A16" t="s">
        <v>32</v>
      </c>
    </row>
    <row r="17" spans="1:1">
      <c r="A17" t="s">
        <v>32</v>
      </c>
    </row>
    <row r="18" spans="1:1">
      <c r="A18" t="s">
        <v>32</v>
      </c>
    </row>
    <row r="19" spans="1:1">
      <c r="A19" t="s">
        <v>44</v>
      </c>
    </row>
    <row r="20" spans="1:1">
      <c r="A20" s="1" t="s">
        <v>44</v>
      </c>
    </row>
    <row r="21" spans="1:1">
      <c r="A21" t="s">
        <v>44</v>
      </c>
    </row>
    <row r="22" spans="1:1">
      <c r="A22" t="s">
        <v>44</v>
      </c>
    </row>
    <row r="23" spans="1:1">
      <c r="A23" t="s">
        <v>103</v>
      </c>
    </row>
    <row r="24" spans="1:1">
      <c r="A24" t="s">
        <v>55</v>
      </c>
    </row>
    <row r="25" spans="1:1">
      <c r="A25" t="s">
        <v>55</v>
      </c>
    </row>
    <row r="26" spans="1:1">
      <c r="A26" t="s">
        <v>55</v>
      </c>
    </row>
    <row r="27" spans="1:1">
      <c r="A27" t="s">
        <v>59</v>
      </c>
    </row>
    <row r="28" spans="1:1">
      <c r="A28" t="s">
        <v>59</v>
      </c>
    </row>
    <row r="29" spans="1:1">
      <c r="A29" t="s">
        <v>59</v>
      </c>
    </row>
    <row r="30" spans="1:1">
      <c r="A30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性能</vt:lpstr>
      <vt:lpstr>周边配置</vt:lpstr>
      <vt:lpstr>价格</vt:lpstr>
      <vt:lpstr>Sheet1</vt:lpstr>
      <vt:lpstr>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LeonadorDaVinci LeonadorDaVinci</dc:creator>
  <cp:lastModifiedBy>侯爱莉</cp:lastModifiedBy>
  <dcterms:created xsi:type="dcterms:W3CDTF">2023-05-12T11:15:00Z</dcterms:created>
  <dcterms:modified xsi:type="dcterms:W3CDTF">2025-08-06T13:27:26Z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7269F8B16D8F49DD8DF73756B69AB856_13</vt:lpwstr>
  </property>
</Properties>
</file>